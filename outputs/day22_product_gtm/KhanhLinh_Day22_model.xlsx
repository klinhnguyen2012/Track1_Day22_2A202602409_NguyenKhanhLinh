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24d83fea4944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_README" sheetId="1" r:id="R6d34f885bbc64297"/>
    <x:sheet xmlns:r="http://schemas.openxmlformats.org/officeDocument/2006/relationships" name="1_Cost_Job" sheetId="2" r:id="R8f4d390e45f240d9"/>
    <x:sheet xmlns:r="http://schemas.openxmlformats.org/officeDocument/2006/relationships" name="2_Pricing" sheetId="3" r:id="Rfc1ca91b868e4145"/>
    <x:sheet xmlns:r="http://schemas.openxmlformats.org/officeDocument/2006/relationships" name="3_Value_Metric" sheetId="4" r:id="R5dd7c84360264b53"/>
    <x:sheet xmlns:r="http://schemas.openxmlformats.org/officeDocument/2006/relationships" name="4_Channel_Fit" sheetId="5" r:id="R5139cf9adef34cf2"/>
    <x:sheet xmlns:r="http://schemas.openxmlformats.org/officeDocument/2006/relationships" name="5_90Day_Plan" sheetId="6" r:id="Reda4d1da8c2d4241"/>
    <x:sheet xmlns:r="http://schemas.openxmlformats.org/officeDocument/2006/relationships" name="6_Benchmarks" sheetId="7" r:id="R86431d393cda4e25"/>
  </x:sheets>
</x:workbook>
</file>

<file path=xl/comments1.xml><?xml version="1.0" encoding="utf-8"?>
<x:comments xmlns:x="http://schemas.openxmlformats.org/spreadsheetml/2006/main">
  <x:authors>
    <x:author/>
  </x:authors>
  <x:commentList>
    <x:comment ref="B5" authorId="0">
      <x:text>
        <x:r>
          <x:t>======
ID#AAACIQEOV6c
Unknown Author    (2026-10-08 02:20:56)
Ví dụ mẫu đang điền sẵn — thay bằng sản phẩm của bạn.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<x:sst xmlns:x="http://schemas.openxmlformats.org/spreadsheetml/2006/main">
  <x:si>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AI Pricing · GTM · Evidence — AI-IN-ACTION Track 1</x:t>
  </x:si>
  <x:si>
    <x:t xml:space="preserve">QUY ƯỚC MÀU — CHỈ ĐIỀN VÀO Ô MÀU VÀNG</x:t>
  </x:si>
  <x:si>
    <x:t xml:space="preserve">Ô VÀNG, chữ xanh dương</x:t>
  </x:si>
  <x:si>
    <x:t xml:space="preserve">Ô bạn phải điền</x:t>
  </x:si>
  <x:si>
    <x:t xml:space="preserve">Ô XÁM, chữ đen</x:t>
  </x:si>
  <x:si>
    <x:t xml:space="preserve">Công thức tự tính — KHÔNG SỬA</x:t>
  </x:si>
  <x:si>
    <x:t xml:space="preserve">Chữ xanh lá</x:t>
  </x:si>
  <x:si>
    <x:t xml:space="preserve">Link sang tab khác</x:t>
  </x:si>
  <x:si>
    <x:t xml:space="preserve">Ô XÁM đậm nhạt</x:t>
  </x:si>
  <x:si>
    <x:t xml:space="preserve">Bảng tham chiếu, chỉ đọc</x:t>
  </x:si>
  <x:si>
    <x:t xml:space="preserve">THỨ TỰ LÀM — 6 TRẠM, 120 PHÚT</x:t>
  </x:si>
  <x:si>
    <x:t xml:space="preserve">Trạm 1 · 15'</x:t>
  </x:si>
  <x:si>
    <x:t xml:space="preserve">Ngân sách khách &amp; định nghĩa Job → điền S1–S2 của tab 1_Cost_Job</x:t>
  </x:si>
  <x:si>
    <x:t xml:space="preserve">Trạm 2 · 20'</x:t>
  </x:si>
  <x:si>
    <x:t xml:space="preserve">Value Metric → tab 3_Value_Metric</x:t>
  </x:si>
  <x:si>
    <x:t xml:space="preserve">Trạm 3 · 30'</x:t>
  </x:si>
  <x:si>
    <x:t xml:space="preserve">Cost/Job, giá sàn &amp; giá trần → tab 1_Cost_Job (S3–S8) rồi 2_Pricing</x:t>
  </x:si>
  <x:si>
    <x:t xml:space="preserve">Trạm 4 · 20'</x:t>
  </x:si>
  <x:si>
    <x:t xml:space="preserve">Kênh phân phối &amp; Affordability Test → tab 4_Channel_Fit</x:t>
  </x:si>
  <x:si>
    <x:t xml:space="preserve">Trạm 5 · 15'</x:t>
  </x:si>
  <x:si>
    <x:t xml:space="preserve">Pain Moment &amp; 90-Day Plan → tab 5_90Day_Plan</x:t>
  </x:si>
  <x:si>
    <x:t xml:space="preserve">Trạm 6 · 20'</x:t>
  </x:si>
  <x:si>
    <x:t xml:space="preserve">Evidence Pack &amp; ráp One-Pager → tab 5_90Day_Plan + file .docx</x:t>
  </x:si>
  <x:si>
    <x:t xml:space="preserve">3 QUY TẮC KHÔNG ĐƯỢC PHÁ</x:t>
  </x:si>
  <x:si>
    <x:t xml:space="preserve">1. Chia cho số job HOÀN THÀNH, không phải số job đã thử.</x:t>
  </x:si>
  <x:si>
    <x:t xml:space="preserve">2. HITL và Retry không được để 0 nếu không có lý do viết ra được.</x:t>
  </x:si>
  <x:si>
    <x:t xml:space="preserve">3. Mọi con số giá API phải có NGÀY kiểm tra (xem tab 6_Benchmarks).</x:t>
  </x:si>
  <x:si>
    <x:t xml:space="preserve">Bạn PHẢI tự mở lại trang giá của nhà cung cấp và cập nhật — đây là một phần của bài tập.</x:t>
  </x:si>
  <x:si>
    <x:t xml:space="preserve">TAB 1 — COST/JOB CALCULATOR</x:t>
  </x:si>
  <x:si>
    <x:t xml:space="preserve">Trạm 1 (S1–S2) và Trạm 3 (S3–S8). Chỉ điền ô vàng.</x:t>
  </x:si>
  <x:si>
    <x:t xml:space="preserve">S1. ĐỊNH NGHĨA JOB</x:t>
  </x:si>
  <x:si>
    <x:t xml:space="preserve">1 job của bạn là gì?</x:t>
  </x:si>
  <x:si>
    <x:t xml:space="preserve">Biến thể HITL: A hay B?</x:t>
  </x:si>
  <x:si>
    <x:t xml:space="preserve">S2. KHỐI LƯỢNG</x:t>
  </x:si>
  <x:si>
    <x:t xml:space="preserve">Số job THỬ / tháng</x:t>
  </x:si>
  <x:si>
    <x:t xml:space="preserve">job</x:t>
  </x:si>
  <x:si>
    <x:t xml:space="preserve">Containment rate (AI tự làm xong)</x:t>
  </x:si>
  <x:si>
    <x:t xml:space="preserve">Chưa đo → ước tính và ghi rõ</x:t>
  </x:si>
  <x:si>
    <x:t xml:space="preserve">→ Số job HOÀN THÀNH / tháng</x:t>
  </x:si>
  <x:si>
    <x:t xml:space="preserve">MẪU SỐ của Cost/Job</x:t>
  </x:si>
  <x:si>
    <x:t xml:space="preserve">→ Số job KHÔNG xong / tháng</x:t>
  </x:si>
  <x:si>
    <x:t xml:space="preserve">Số ca phải escalate</x:t>
  </x:si>
  <x:si>
    <x:t xml:space="preserve">S3. API — LLM</x:t>
  </x:si>
  <x:si>
    <x:t xml:space="preserve">Giá input ($ / 1M token)</x:t>
  </x:si>
  <x:si>
    <x:t xml:space="preserve">Giá output ($ / 1M token)</x:t>
  </x:si>
  <x:si>
    <x:t xml:space="preserve">Giá cache WRITE ($ / 1M token)</x:t>
  </x:si>
  <x:si>
    <x:t xml:space="preserve">Anthropic 5-phút = 1,25× input</x:t>
  </x:si>
  <x:si>
    <x:t xml:space="preserve">Giá cache READ ($ / 1M token)</x:t>
  </x:si>
  <x:si>
    <x:t xml:space="preserve">≈ 0,1× input (giảm 90%)</x:t>
  </x:si>
  <x:si>
    <x:t xml:space="preserve">Số lượt (turns) / job</x:t>
  </x:si>
  <x:si>
    <x:t xml:space="preserve">lượt</x:t>
  </x:si>
  <x:si>
    <x:t xml:space="preserve">Token input CACHE ĐƯỢC / lượt</x:t>
  </x:si>
  <x:si>
    <x:t xml:space="preserve">token</x:t>
  </x:si>
  <x:si>
    <x:t xml:space="preserve">Token input FRESH / lượt</x:t>
  </x:si>
  <x:si>
    <x:t xml:space="preserve">Token output / lượt</x:t>
  </x:si>
  <x:si>
    <x:t xml:space="preserve">→ Cache write / job</x:t>
  </x:si>
  <x:si>
    <x:t xml:space="preserve">→ Cache read / job</x:t>
  </x:si>
  <x:si>
    <x:t xml:space="preserve">→ Input fresh / job</x:t>
  </x:si>
  <x:si>
    <x:t xml:space="preserve">→ Output / job</x:t>
  </x:si>
  <x:si>
    <x:t xml:space="preserve">→ LLM / job — CÓ prompt caching</x:t>
  </x:si>
  <x:si>
    <x:t xml:space="preserve">→ LLM / job — KHÔNG cache</x:t>
  </x:si>
  <x:si>
    <x:t xml:space="preserve">→ % tiết kiệm nhờ caching</x:t>
  </x:si>
  <x:si>
    <x:t xml:space="preserve">Dùng Batch API? (1 = có, 0 = không)</x:t>
  </x:si>
  <x:si>
    <x:t xml:space="preserve">→ LLM / job sau Batch</x:t>
  </x:si>
  <x:si>
    <x:t xml:space="preserve">S4. API — SPEECH (để 0 nếu sản phẩm không có thoại)</x:t>
  </x:si>
  <x:si>
    <x:t xml:space="preserve">Giá STT ($ / phút)</x:t>
  </x:si>
  <x:si>
    <x:t xml:space="preserve">Số phút audio / job</x:t>
  </x:si>
  <x:si>
    <x:t xml:space="preserve">phút</x:t>
  </x:si>
  <x:si>
    <x:t xml:space="preserve">Giá TTS ($ / 1M ký tự)</x:t>
  </x:si>
  <x:si>
    <x:t xml:space="preserve">Số ký tự TTS / job</x:t>
  </x:si>
  <x:si>
    <x:t xml:space="preserve">ký tự</x:t>
  </x:si>
  <x:si>
    <x:t xml:space="preserve">→ Speech / job</x:t>
  </x:si>
  <x:si>
    <x:t xml:space="preserve">S5. INFRA</x:t>
  </x:si>
  <x:si>
    <x:t xml:space="preserve">Infra / job ($)</x:t>
  </x:si>
  <x:si>
    <x:t xml:space="preserve">Telephony ($ / phút)</x:t>
  </x:si>
  <x:si>
    <x:t xml:space="preserve">→ Infra / job</x:t>
  </x:si>
  <x:si>
    <x:t xml:space="preserve">S6. RETRY</x:t>
  </x:si>
  <x:si>
    <x:t xml:space="preserve">Tỷ lệ job phải chạy lại</x:t>
  </x:si>
  <x:si>
    <x:t xml:space="preserve">→ Retry / job</x:t>
  </x:si>
  <x:si>
    <x:t xml:space="preserve">S7. HITL — người trong vòng lặp</x:t>
  </x:si>
  <x:si>
    <x:t xml:space="preserve">Chi phí nhân sự ($ / giờ, fully-loaded)</x:t>
  </x:si>
  <x:si>
    <x:t xml:space="preserve">Gồm lương + bảo hiểm + quản lý + chỗ ngồi</x:t>
  </x:si>
  <x:si>
    <x:t xml:space="preserve">% hội thoại QA nội bộ</x:t>
  </x:si>
  <x:si>
    <x:t xml:space="preserve">Luôn có, kể cả Biến thể A</x:t>
  </x:si>
  <x:si>
    <x:t xml:space="preserve">Số phút QA / ca</x:t>
  </x:si>
  <x:si>
    <x:t xml:space="preserve">Số phút xử lý 1 ca escalate</x:t>
  </x:si>
  <x:si>
    <x:t xml:space="preserve">→ QA nội bộ / tháng</x:t>
  </x:si>
  <x:si>
    <x:t xml:space="preserve">→ Escalation / tháng (chỉ Biến thể B)</x:t>
  </x:si>
  <x:si>
    <x:t xml:space="preserve">Biến thể A → 0 vì khách tự chịu</x:t>
  </x:si>
  <x:si>
    <x:t xml:space="preserve">→ Tổng HITL / tháng</x:t>
  </x:si>
  <x:si>
    <x:t xml:space="preserve">S8. OVERHEAD (tuỳ chọn)</x:t>
  </x:si>
  <x:si>
    <x:t xml:space="preserve">R&amp;D + Sales phân bổ / tháng ($)</x:t>
  </x:si>
  <x:si>
    <x:t xml:space="preserve">KẾT QUẢ</x:t>
  </x:si>
  <x:si>
    <x:t xml:space="preserve">Chi phí biến đổi / tháng (API + Speech + Infra + Retry)</x:t>
  </x:si>
  <x:si>
    <x:t xml:space="preserve">HITL / tháng</x:t>
  </x:si>
  <x:si>
    <x:t xml:space="preserve">Overhead / tháng</x:t>
  </x:si>
  <x:si>
    <x:t xml:space="preserve">TỔNG CHI PHÍ / tháng</x:t>
  </x:si>
  <x:si>
    <x:t xml:space="preserve">★ COST/JOB (chưa overhead)</x:t>
  </x:si>
  <x:si>
    <x:t xml:space="preserve">$/job</x:t>
  </x:si>
  <x:si>
    <x:t xml:space="preserve">Con số chảy sang tab 2_Pricing</x:t>
  </x:si>
  <x:si>
    <x:t xml:space="preserve">★ COST/JOB (có overhead)</x:t>
  </x:si>
  <x:si>
    <x:t xml:space="preserve">Tỷ giá (₫ / USD) — giả định</x:t>
  </x:si>
  <x:si>
    <x:t xml:space="preserve">₫/USD</x:t>
  </x:si>
  <x:si>
    <x:t xml:space="preserve">→ Cost/Job quy đổi</x:t>
  </x:si>
  <x:si>
    <x:t xml:space="preserve">₫/job</x:t>
  </x:si>
  <x:si>
    <x:t xml:space="preserve">THÀNH PHẦN NÀO ĂN NHIỀU NHẤT? (kiểm tra nhanh)</x:t>
  </x:si>
  <x:si>
    <x:t xml:space="preserve">LLM</x:t>
  </x:si>
  <x:si>
    <x:t xml:space="preserve">Speech</x:t>
  </x:si>
  <x:si>
    <x:t xml:space="preserve">Infra</x:t>
  </x:si>
  <x:si>
    <x:t xml:space="preserve">Retry</x:t>
  </x:si>
  <x:si>
    <x:t xml:space="preserve">HITL</x:t>
  </x:si>
  <x:si>
    <x:t xml:space="preserve">Overhead</x:t>
  </x:si>
  <x:si>
    <x:t xml:space="preserve">Nếu LLM chiếm &gt;80% thì gần như chắc chắn bạn đang thiếu chi phí ở S5–S7.</x:t>
  </x:si>
  <x:si>
    <x:t xml:space="preserve">TAB 2 — PRICING SANITY CHECK</x:t>
  </x:si>
  <x:si>
    <x:t xml:space="preserve">Trạm 3. Cost/Job tự lấy từ tab 1. Bạn điền giá bán và các con số neo giá.</x:t>
  </x:si>
  <x:si>
    <x:t xml:space="preserve">GIÁ SÀN</x:t>
  </x:si>
  <x:si>
    <x:t xml:space="preserve">Cost/Job (từ tab 1_Cost_Job)</x:t>
  </x:si>
  <x:si>
    <x:t xml:space="preserve">Hệ số an toàn tối thiểu</x:t>
  </x:si>
  <x:si>
    <x:t xml:space="preserve">×</x:t>
  </x:si>
  <x:si>
    <x:t xml:space="preserve">Giá bán ≥ 3 × Cost/Job</x:t>
  </x:si>
  <x:si>
    <x:t xml:space="preserve">→ GIÁ SÀN</x:t>
  </x:si>
  <x:si>
    <x:t xml:space="preserve">GIÁ TRẦN — NEO THEO THỨ KHÁCH ĐANG CHI</x:t>
  </x:si>
  <x:si>
    <x:t xml:space="preserve">Số job / tháng của 1 khách</x:t>
  </x:si>
  <x:si>
    <x:t xml:space="preserve">→ Trần theo giá trị — mức 10%</x:t>
  </x:si>
  <x:si>
    <x:t xml:space="preserve">→ Trần theo giá trị — mức 25%</x:t>
  </x:si>
  <x:si>
    <x:t xml:space="preserve">Lương / tháng của vị trí bị thay ($)</x:t>
  </x:si>
  <x:si>
    <x:t xml:space="preserve">→ Trần theo nhân công — mức 50%</x:t>
  </x:si>
  <x:si>
    <x:t xml:space="preserve">→ Trần theo nhân công — mức 70%</x:t>
  </x:si>
  <x:si>
    <x:t xml:space="preserve">GIÁ BÁN CỦA BẠN</x:t>
  </x:si>
  <x:si>
    <x:t xml:space="preserve">→ GROSS MARGIN</x:t>
  </x:si>
  <x:si>
    <x:t xml:space="preserve">→ Đèn: bội số ≥ 3?</x:t>
  </x:si>
  <x:si>
    <x:t xml:space="preserve">→ Đèn: Gross Margin</x:t>
  </x:si>
  <x:si>
    <x:t xml:space="preserve">→ Đèn: GM có cao bất thường?</x:t>
  </x:si>
  <x:si>
    <x:t xml:space="preserve">→ Giá bán nằm trong vùng neo?</x:t>
  </x:si>
  <x:si>
    <x:t xml:space="preserve">BREAKEVEN CONTAINMENT — ngưỡng sống còn</x:t>
  </x:si>
  <x:si>
    <x:t xml:space="preserve">Ký hiệu: v = chi phí biến đổi / job thử · q = QA / job thử · e = chi phí 1 ca escalate</x:t>
  </x:si>
  <x:si>
    <x:t xml:space="preserve">v — chi phí biến đổi / job thử</x:t>
  </x:si>
  <x:si>
    <x:t xml:space="preserve">q — QA nội bộ / job thử</x:t>
  </x:si>
  <x:si>
    <x:t xml:space="preserve">e — chi phí 1 ca escalate</x:t>
  </x:si>
  <x:si>
    <x:t xml:space="preserve">Gross Margin mục tiêu</x:t>
  </x:si>
  <x:si>
    <x:t xml:space="preserve">Containment hiện tại (từ tab 1)</x:t>
  </x:si>
  <x:si>
    <x:t xml:space="preserve">→ Kết luận</x:t>
  </x:si>
  <x:si>
    <x:t xml:space="preserve">Containment</x:t>
  </x:si>
  <x:si>
    <x:t xml:space="preserve">Cost/Job</x:t>
  </x:si>
  <x:si>
    <x:t xml:space="preserve">Gross Margin</x:t>
  </x:si>
  <x:si>
    <x:t xml:space="preserve">Đánh giá</x:t>
  </x:si>
  <x:si>
    <x:t xml:space="preserve">Nhìn cột Gross Margin: mô hình của bạn mong manh đến mức nào khi AI làm sai nhiều hơn dự kiến?</x:t>
  </x:si>
  <x:si>
    <x:t xml:space="preserve">5 CON SỐ PHẢI MANG SANG ONE-PAGER</x:t>
  </x:si>
  <x:si>
    <x:t xml:space="preserve">Giá sàn (3×)</x:t>
  </x:si>
  <x:si>
    <x:t xml:space="preserve">Giá bán đề xuất</x:t>
  </x:si>
  <x:si>
    <x:t xml:space="preserve">Breakeven containment</x:t>
  </x:si>
  <x:si>
    <x:t xml:space="preserve">TAB 3 — VALUE METRIC SCORECARD</x:t>
  </x:si>
  <x:si>
    <x:t xml:space="preserve">Trạm 2. Chấm 0 / 1 / 2 điểm cho mỗi câu, theo THỰC TẾ HÔM NAY.</x:t>
  </x:si>
  <x:si>
    <x:t xml:space="preserve">A. ATTRIBUTION — bạn đo được kết quả là do AI tạo ra không?</x:t>
  </x:si>
  <x:si>
    <x:t xml:space="preserve">1. Tôi có log đầy đủ mỗi job AI xử lý, gắn được với kết quả cuối cùng</x:t>
  </x:si>
  <x:si>
    <x:t xml:space="preserve">2. Tôi có bộ eval đo được tỷ lệ AI làm đúng, có số liệu</x:t>
  </x:si>
  <x:si>
    <x:t xml:space="preserve">3. Khách hàng đồng ý với cách tôi định nghĩa 'thành công' của một job</x:t>
  </x:si>
  <x:si>
    <x:t xml:space="preserve">4. Tôi phân biệt được kết quả do AI tạo ra với kết quả do yếu tố khác</x:t>
  </x:si>
  <x:si>
    <x:t xml:space="preserve">5. Tôi viết được định nghĩa chặt như Intercom: cái gì tính tiền, cái gì không</x:t>
  </x:si>
  <x:si>
    <x:t xml:space="preserve">→ ĐIỂM ATTRIBUTION (tối đa 10)</x:t>
  </x:si>
  <x:si>
    <x:t xml:space="preserve">B. AUTONOMY — AI tự chạy hay cần người?</x:t>
  </x:si>
  <x:si>
    <x:t xml:space="preserve">1. AI hoàn thành job từ đầu đến cuối, không cần người bấm nút giữa chừng</x:t>
  </x:si>
  <x:si>
    <x:t xml:space="preserve">2. Job chạy được ngoài giờ hành chính mà không ai trực</x:t>
  </x:si>
  <x:si>
    <x:t xml:space="preserve">3. Khi AI không chắc, nó tự chuyển tiếp đúng chỗ — không cần người phân loại</x:t>
  </x:si>
  <x:si>
    <x:t xml:space="preserve">4. Tỷ lệ ca phải có người can thiệp dưới 20%</x:t>
  </x:si>
  <x:si>
    <x:t xml:space="preserve">5. Người vận hành chỉ kiểm tra mẫu (QA), không xử lý từng ca</x:t>
  </x:si>
  <x:si>
    <x:t xml:space="preserve">→ ĐIỂM AUTONOMY (tối đa 10)</x:t>
  </x:si>
  <x:si>
    <x:t xml:space="preserve">GỢI Ý CỦA MODEL</x:t>
  </x:si>
  <x:si>
    <x:t xml:space="preserve">→ Value Metric gợi ý</x:t>
  </x:si>
  <x:si>
    <x:t xml:space="preserve">Ngưỡng 7/10 là quy ước của bài tập, không phải chuẩn ngành — dùng để buộc bạn ra quyết định, không phải để thay bạn quyết định.</x:t>
  </x:si>
  <x:si>
    <x:t xml:space="preserve">BENCHMARK NGƯỢC — 2 sản phẩm thật cùng loại job</x:t>
  </x:si>
  <x:si>
    <x:t xml:space="preserve">Tên sản phẩm</x:t>
  </x:si>
  <x:si>
    <x:t xml:space="preserve">Value Metric</x:t>
  </x:si>
  <x:si>
    <x:t xml:space="preserve">Giá công bố</x:t>
  </x:si>
  <x:si>
    <x:t xml:space="preserve">Link nguồn</x:t>
  </x:si>
  <x:si>
    <x:t xml:space="preserve">QUYẾT ĐỊNH CUỐI</x:t>
  </x:si>
  <x:si>
    <x:t xml:space="preserve">Value Metric tôi chọn</x:t>
  </x:si>
  <x:si>
    <x:t xml:space="preserve">Nếu KHÁC gợi ý — lý do thị trường là gì?</x:t>
  </x:si>
  <x:si>
    <x:t xml:space="preserve">Decision Note — câu 1: tôi chọn đơn vị nào?</x:t>
  </x:si>
  <x:si>
    <x:t xml:space="preserve">Decision Note — câu 2: bằng chứng Attribution / Autonomy?</x:t>
  </x:si>
  <x:si>
    <x:t xml:space="preserve">Decision Note — câu 3: mô hình này lỗ trong tình huống nào?</x:t>
  </x:si>
  <x:si>
    <x:t xml:space="preserve">TAB 4 — CHANNEL FIT &amp; AFFORDABILITY TEST</x:t>
  </x:si>
  <x:si>
    <x:t xml:space="preserve">Trạm 4. Chọn ĐÚNG 1 kênh cho 90 ngày đầu — và chứng minh bằng số.</x:t>
  </x:si>
  <x:si>
    <x:t xml:space="preserve">A. NGÂN SÁCH CAC — bạn nuôi nổi kênh nào?</x:t>
  </x:si>
  <x:si>
    <x:t xml:space="preserve">ARPU / tháng ($)</x:t>
  </x:si>
  <x:si>
    <x:t xml:space="preserve">Gross Margin (từ tab 2_Pricing)</x:t>
  </x:si>
  <x:si>
    <x:t xml:space="preserve">Phân khúc (SMB / Mid / Enterprise)</x:t>
  </x:si>
  <x:si>
    <x:t xml:space="preserve">→ CAC payback cho phép (tháng)</x:t>
  </x:si>
  <x:si>
    <x:t xml:space="preserve">tháng</x:t>
  </x:si>
  <x:si>
    <x:t xml:space="preserve">Bessemer, Scaling to $100M (2024)</x:t>
  </x:si>
  <x:si>
    <x:t xml:space="preserve">★ NGÂN SÁCH CAC / khách</x:t>
  </x:si>
  <x:si>
    <x:t xml:space="preserve">ARPU × GM × số tháng payback</x:t>
  </x:si>
  <x:si>
    <x:t xml:space="preserve">→ ACV (giá trị hợp đồng / năm)</x:t>
  </x:si>
  <x:si>
    <x:t xml:space="preserve">B. SALES VIABILITY — một AE phải chốt bao nhiêu deal?</x:t>
  </x:si>
  <x:si>
    <x:t xml:space="preserve">Quota / AE / năm ($)</x:t>
  </x:si>
  <x:si>
    <x:t xml:space="preserve">Số ngày làm việc / năm</x:t>
  </x:si>
  <x:si>
    <x:t xml:space="preserve">ngày</x:t>
  </x:si>
  <x:si>
    <x:t xml:space="preserve">→ Số deal / AE / năm</x:t>
  </x:si>
  <x:si>
    <x:t xml:space="preserve">★ Số deal / AE / NGÀY</x:t>
  </x:si>
  <x:si>
    <x:t xml:space="preserve">deal/ngày</x:t>
  </x:si>
  <x:si>
    <x:t xml:space="preserve">C. ĐỐI CHIẾU CAC THỰC TẾ CỦA MOTION CÓ SALES</x:t>
  </x:si>
  <x:si>
    <x:t xml:space="preserve">Cost per opportunity ($)</x:t>
  </x:si>
  <x:si>
    <x:t xml:space="preserve">Win rate</x:t>
  </x:si>
  <x:si>
    <x:t xml:space="preserve">→ CAC thực tế ước tính / khách</x:t>
  </x:si>
  <x:si>
    <x:t xml:space="preserve">★ Lệch bao nhiêu lần so với ngân sách CAC?</x:t>
  </x:si>
  <x:si>
    <x:t xml:space="preserve">D. CHẤM ĐIỂM 3 KÊNH (1 = rất kém, 5 = rất tốt)</x:t>
  </x:si>
  <x:si>
    <x:t xml:space="preserve">Tiêu chí</x:t>
  </x:si>
  <x:si>
    <x:t xml:space="preserve">PLG</x:t>
  </x:si>
  <x:si>
    <x:t xml:space="preserve">Sales-Led</x:t>
  </x:si>
  <x:si>
    <x:t xml:space="preserve">Partner-Led</x:t>
  </x:si>
  <x:si>
    <x:t xml:space="preserve">1. Ngân sách CAC của tôi nuôi nổi kênh này</x:t>
  </x:si>
  <x:si>
    <x:t xml:space="preserve">2. Khách hàng mục tiêu thực sự mua theo cách này</x:t>
  </x:si>
  <x:si>
    <x:t xml:space="preserve">3. Đội hiện tại có năng lực chạy kênh này ngay</x:t>
  </x:si>
  <x:si>
    <x:t xml:space="preserve">4. Tôi tiếp cận được điểm nhúng / partner trong 30 ngày</x:t>
  </x:si>
  <x:si>
    <x:t xml:space="preserve">5. Kênh này đưa tôi đến ĐÚNG Pain Moment</x:t>
  </x:si>
  <x:si>
    <x:t xml:space="preserve">6. Tôi đo được hiệu quả trong vòng 90 ngày</x:t>
  </x:si>
  <x:si>
    <x:t xml:space="preserve">→ TỔNG ĐIỂM</x:t>
  </x:si>
  <x:si>
    <x:t xml:space="preserve">→ Kênh điểm cao nhất</x:t>
  </x:si>
  <x:si>
    <x:t xml:space="preserve">E. CHỐT KÊNH</x:t>
  </x:si>
  <x:si>
    <x:t xml:space="preserve">★ Kênh tôi chọn cho 90 ngày đầu</x:t>
  </x:si>
  <x:si>
    <x:t xml:space="preserve">ĐÚNG 1 kênh. Chọn 2 kênh trở lên bị trừ điểm.</x:t>
  </x:si>
  <x:si>
    <x:t xml:space="preserve">Nếu Partner-Led: TÊN CÔNG TY partner</x:t>
  </x:si>
  <x:si>
    <x:t xml:space="preserve">'Các nền tảng trong ngành' = chưa có kênh</x:t>
  </x:si>
  <x:si>
    <x:t xml:space="preserve">Đã nói chuyện với họ chưa? (Rồi / Chưa)</x:t>
  </x:si>
  <x:si>
    <x:t xml:space="preserve">Bạn mang lại giá trị gì cho partner?</x:t>
  </x:si>
  <x:si>
    <x:t xml:space="preserve">Nếu rơi vào vùng không khả thi — lối thoát nào?</x:t>
  </x:si>
  <x:si>
    <x:t xml:space="preserve">Giảm giá để tự phục vụ / tăng giá + service / Partner-Led</x:t>
  </x:si>
  <x:si>
    <x:t xml:space="preserve">TAB 5 — PAIN MOMENT · 90-DAY PLAN · EVIDENCE PACK</x:t>
  </x:si>
  <x:si>
    <x:t xml:space="preserve">Trạm 5 và Trạm 6.</x:t>
  </x:si>
  <x:si>
    <x:t xml:space="preserve">A. PAIN MOMENT — phải đủ 3 phần</x:t>
  </x:si>
  <x:si>
    <x:t xml:space="preserve">MẤY GIỜ khách đau nhất?</x:t>
  </x:si>
  <x:si>
    <x:t xml:space="preserve">Lúc đó họ ĐANG LÀM GÌ?</x:t>
  </x:si>
  <x:si>
    <x:t xml:space="preserve">Họ đang DÙNG APP / KÊNH NÀO?</x:t>
  </x:si>
  <x:si>
    <x:t xml:space="preserve">→ Điểm nhúng cụ thể của bạn</x:t>
  </x:si>
  <x:si>
    <x:t xml:space="preserve">B. 90-DAY PLAN</x:t>
  </x:si>
  <x:si>
    <x:t xml:space="preserve">THÁNG 1 — Học</x:t>
  </x:si>
  <x:si>
    <x:t xml:space="preserve">THÁNG 2–3 — Đòn bẩy</x:t>
  </x:si>
  <x:si>
    <x:t xml:space="preserve">THÁNG 4+ — Mở rộng</x:t>
  </x:si>
  <x:si>
    <x:t xml:space="preserve">Kênh sử dụng</x:t>
  </x:si>
  <x:si>
    <x:t xml:space="preserve">Mục tiêu số khách</x:t>
  </x:si>
  <x:si>
    <x:t xml:space="preserve">Việc cụ thể 1</x:t>
  </x:si>
  <x:si>
    <x:t xml:space="preserve">Việc cụ thể 2</x:t>
  </x:si>
  <x:si>
    <x:t xml:space="preserve">Việc cụ thể 3</x:t>
  </x:si>
  <x:si>
    <x:t xml:space="preserve">KPI đo được</x:t>
  </x:si>
  <x:si>
    <x:t xml:space="preserve">Người chịu trách nhiệm</x:t>
  </x:si>
  <x:si>
    <x:t xml:space="preserve">Tháng 1 là giai đoạn HỌC, không phải scale. Kế hoạch 'tháng 1 lấy 200 khách ở 5 ngành' là kế hoạch chưa ai từng thử làm.</x:t>
  </x:si>
  <x:si>
    <x:t xml:space="preserve">C. EVIDENCE PACK — 3 tài sản bán hàng</x:t>
  </x:si>
  <x:si>
    <x:t xml:space="preserve">Tài sản</x:t>
  </x:si>
  <x:si>
    <x:t xml:space="preserve">Đã có? (Rồi/Chưa)</x:t>
  </x:si>
  <x:si>
    <x:t xml:space="preserve">Nội dung 1 câu — hoặc việc cần làm</x:t>
  </x:si>
  <x:si>
    <x:t xml:space="preserve">Người phụ trách · Deadline</x:t>
  </x:si>
  <x:si>
    <x:t xml:space="preserve">Ô nào CHƯA CÓ thì ghi deadline — đừng bỏ trống. Thành thật về khoảng trống được điểm cao hơn bịa nội dung.</x:t>
  </x:si>
  <x:si>
    <x:t xml:space="preserve">D. BÀI TEST NGƯỜI LẠ — nhóm khác đọc One-Pager trong 2 phút</x:t>
  </x:si>
  <x:si>
    <x:t xml:space="preserve">Họ trả lời được: bán gì, cho ai, tính tiền theo đơn vị nào? (Được/Không)</x:t>
  </x:si>
  <x:si>
    <x:t xml:space="preserve">Họ trả lời được: có lãi trên mỗi đơn vị không, số nào chứng minh? (Được/Không)</x:t>
  </x:si>
  <x:si>
    <x:t xml:space="preserve">Họ trả lời được: tiếp cận khách qua đâu, vì sao kênh đó? (Được/Không)</x:t>
  </x:si>
  <x:si>
    <x:t xml:space="preserve">Số câu họ phải hỏi lại (mục tiêu ≤ 3)</x:t>
  </x:si>
  <x:si>
    <x:t xml:space="preserve">TAB 6 — BENCHMARKS (CHỈ ĐỌC)</x:t>
  </x:si>
  <x:si>
    <x:t xml:space="preserve">NGÀY BẠN KIỂM TRA LẠI GIÁ</x:t>
  </x:si>
  <x:si>
    <x:t xml:space="preserve">Bắt buộc điền — Rubric có chấm mục này</x:t>
  </x:si>
  <x:si>
    <x:t xml:space="preserve">Nhóm</x:t>
  </x:si>
  <x:si>
    <x:t xml:space="preserve">Mục</x:t>
  </x:si>
  <x:si>
    <x:t xml:space="preserve">Giá</x:t>
  </x:si>
  <x:si>
    <x:t xml:space="preserve">Đơn vị</x:t>
  </x:si>
  <x:si>
    <x:t xml:space="preserve">Nguồn</x:t>
  </x:si>
  <x:si>
    <x:t xml:space="preserve">Claude Opus 5 — input / output</x:t>
  </x:si>
  <x:si>
    <x:t xml:space="preserve">5,00 / 25,00</x:t>
  </x:si>
  <x:si>
    <x:t xml:space="preserve">$ / 1M token</x:t>
  </x:si>
  <x:si>
    <x:t xml:space="preserve">platform.claude.com/docs/en/about-claude/pricing</x:t>
  </x:si>
  <x:si>
    <x:t xml:space="preserve">Claude Sonnet 5 — input / output</x:t>
  </x:si>
  <x:si>
    <x:t xml:space="preserve">2,00 / 10,00</x:t>
  </x:si>
  <x:si>
    <x:t xml:space="preserve">Claude Haiku 4.5 — input / output</x:t>
  </x:si>
  <x:si>
    <x:t xml:space="preserve">1,00 / 5,00</x:t>
  </x:si>
  <x:si>
    <x:t xml:space="preserve">Claude — cache write 5' / cache read</x:t>
  </x:si>
  <x:si>
    <x:t xml:space="preserve">1,25× / 0,10× input</x:t>
  </x:si>
  <x:si>
    <x:t xml:space="preserve">hệ số</x:t>
  </x:si>
  <x:si>
    <x:t xml:space="preserve">⏳ OpenAI GPT-5.6 Sol — input / output</x:t>
  </x:si>
  <x:si>
    <x:t xml:space="preserve">4,00 / 20,00</x:t>
  </x:si>
  <x:si>
    <x:t xml:space="preserve">developers.openai.com/api/docs/pricing (KM 21/08–21/11/2026; list 5,00/30,00)</x:t>
  </x:si>
  <x:si>
    <x:t xml:space="preserve">OpenAI GPT-5.6 Luna — input / output</x:t>
  </x:si>
  <x:si>
    <x:t xml:space="preserve">0,20 / 1,20</x:t>
  </x:si>
  <x:si>
    <x:t xml:space="preserve">developers.openai.com/api/docs/pricing</x:t>
  </x:si>
  <x:si>
    <x:t xml:space="preserve">OpenAI — cached input / Batch API</x:t>
  </x:si>
  <x:si>
    <x:t xml:space="preserve">10% input / −50%</x:t>
  </x:si>
  <x:si>
    <x:t xml:space="preserve">Gemini 3.1 Pro — input / output (≤200k)</x:t>
  </x:si>
  <x:si>
    <x:t xml:space="preserve">2,00 / 12,00</x:t>
  </x:si>
  <x:si>
    <x:t xml:space="preserve">ai.google.dev/gemini-api/docs/pricing</x:t>
  </x:si>
  <x:si>
    <x:t xml:space="preserve">⏳ Gemini 3.7 Flash — input / output</x:t>
  </x:si>
  <x:si>
    <x:t xml:space="preserve">0,75 / 3,75</x:t>
  </x:si>
  <x:si>
    <x:t xml:space="preserve">ai.google.dev/gemini-api/docs/pricing (KM đến 31/12/2026; sau đó 1,50/7,50)</x:t>
  </x:si>
  <x:si>
    <x:t xml:space="preserve">STT</x:t>
  </x:si>
  <x:si>
    <x:t xml:space="preserve">Deepgram Nova-3 — pre-recorded</x:t>
  </x:si>
  <x:si>
    <x:t xml:space="preserve">0,0043</x:t>
  </x:si>
  <x:si>
    <x:t xml:space="preserve">$ / phút</x:t>
  </x:si>
  <x:si>
    <x:t xml:space="preserve">deepgram.com/pricing</x:t>
  </x:si>
  <x:si>
    <x:t xml:space="preserve">⏳ Deepgram Nova-3 — streaming</x:t>
  </x:si>
  <x:si>
    <x:t xml:space="preserve">list 0,0077 · KM 0,0048</x:t>
  </x:si>
  <x:si>
    <x:t xml:space="preserve">deepgram.com/pricing — đang khuyến mại, kiểm tra lại</x:t>
  </x:si>
  <x:si>
    <x:t xml:space="preserve">AssemblyAI Universal-2 — async</x:t>
  </x:si>
  <x:si>
    <x:t xml:space="preserve">0,0025</x:t>
  </x:si>
  <x:si>
    <x:t xml:space="preserve">assemblyai.com/pricing</x:t>
  </x:si>
  <x:si>
    <x:t xml:space="preserve">OpenAI gpt-4o-mini-transcribe</x:t>
  </x:si>
  <x:si>
    <x:t xml:space="preserve">0,0030</x:t>
  </x:si>
  <x:si>
    <x:t xml:space="preserve">TTS</x:t>
  </x:si>
  <x:si>
    <x:t xml:space="preserve">Google Cloud TTS — Standard</x:t>
  </x:si>
  <x:si>
    <x:t xml:space="preserve">4,00</x:t>
  </x:si>
  <x:si>
    <x:t xml:space="preserve">$ / 1M ký tự</x:t>
  </x:si>
  <x:si>
    <x:t xml:space="preserve">cloud.google.com/text-to-speech/pricing (rẻ nhất)</x:t>
  </x:si>
  <x:si>
    <x:t xml:space="preserve">OpenAI tts-1</x:t>
  </x:si>
  <x:si>
    <x:t xml:space="preserve">15,00</x:t>
  </x:si>
  <x:si>
    <x:t xml:space="preserve">ElevenLabs Flash / Turbo</x:t>
  </x:si>
  <x:si>
    <x:t xml:space="preserve">50,00</x:t>
  </x:si>
  <x:si>
    <x:t xml:space="preserve">elevenlabs.io/pricing/api</x:t>
  </x:si>
  <x:si>
    <x:t xml:space="preserve">ElevenLabs v3 / v2 Multilingual</x:t>
  </x:si>
  <x:si>
    <x:t xml:space="preserve">100,00</x:t>
  </x:si>
  <x:si>
    <x:t xml:space="preserve">Quy đổi</x:t>
  </x:si>
  <x:si>
    <x:t xml:space="preserve">Tốc độ nói</x:t>
  </x:si>
  <x:si>
    <x:t xml:space="preserve">≈ 900</x:t>
  </x:si>
  <x:si>
    <x:t xml:space="preserve">ký tự / phút</x:t>
  </x:si>
  <x:si>
    <x:t xml:space="preserve">≈150 từ/phút — dùng để đổi phút ↔ ký tự</x:t>
  </x:si>
  <x:si>
    <x:t xml:space="preserve">Lưu ý</x:t>
  </x:si>
  <x:si>
    <x:t xml:space="preserve">Google TTS — ký tự CJK</x:t>
  </x:si>
  <x:si>
    <x:t xml:space="preserve">tính là 1 ký tự</x:t>
  </x:si>
  <x:si>
    <x:t xml:space="preserve">—</x:t>
  </x:si>
  <x:si>
    <x:t xml:space="preserve">cloud.google.com/text-to-speech/pricing (KHÔNG phải ×2)</x:t>
  </x:si>
  <x:si>
    <x:t xml:space="preserve">Google STT — tính theo kênh</x:t>
  </x:si>
  <x:si>
    <x:t xml:space="preserve">4 kênh × 120s = 480s</x:t>
  </x:si>
  <x:si>
    <x:t xml:space="preserve">cloud.google.com/speech-to-text/pricing</x:t>
  </x:si>
  <x:si>
    <x:t xml:space="preserve">Streaming vs async STT</x:t>
  </x:si>
  <x:si>
    <x:t xml:space="preserve">1× đến ~5×</x:t>
  </x:si>
  <x:si>
    <x:t xml:space="preserve">Tuỳ nhà cung cấp — AssemblyAI 1,0× · Google ~5×. Đừng dùng hệ số chung</x:t>
  </x:si>
  <x:si>
    <x:t xml:space="preserve">Sản phẩm</x:t>
  </x:si>
  <x:si>
    <x:t xml:space="preserve">Intercom Fin — resolution</x:t>
  </x:si>
  <x:si>
    <x:t xml:space="preserve">0,99</x:t>
  </x:si>
  <x:si>
    <x:t xml:space="preserve">$ / outcome</x:t>
  </x:si>
  <x:si>
    <x:t xml:space="preserve">fin.ai/pricing</x:t>
  </x:si>
  <x:si>
    <x:t xml:space="preserve">Intercom Fin — qualification (sales)</x:t>
  </x:si>
  <x:si>
    <x:t xml:space="preserve">9,99</x:t>
  </x:si>
  <x:si>
    <x:t xml:space="preserve">Zendesk — automated resolution</x:t>
  </x:si>
  <x:si>
    <x:t xml:space="preserve">1,50</x:t>
  </x:si>
  <x:si>
    <x:t xml:space="preserve">$ / resolution</x:t>
  </x:si>
  <x:si>
    <x:t xml:space="preserve">zendesk.com/blog/ai/agentic-ai/outcome-based-pricing/ (blog, không trên trang giá)</x:t>
  </x:si>
  <x:si>
    <x:t xml:space="preserve">Salesforce Agentforce — Flex Credit</x:t>
  </x:si>
  <x:si>
    <x:t xml:space="preserve">0,005 (action = 0,10)</x:t>
  </x:si>
  <x:si>
    <x:t xml:space="preserve">$ / credit</x:t>
  </x:si>
  <x:si>
    <x:t xml:space="preserve">salesforce.com/agentforce/pricing</x:t>
  </x:si>
  <x:si>
    <x:t xml:space="preserve">Salesforce Agentforce — conversation</x:t>
  </x:si>
  <x:si>
    <x:t xml:space="preserve">2,00</x:t>
  </x:si>
  <x:si>
    <x:t xml:space="preserve">$ / conversation</x:t>
  </x:si>
  <x:si>
    <x:t xml:space="preserve">GitHub Copilot — AI Credit</x:t>
  </x:si>
  <x:si>
    <x:t xml:space="preserve">0,01</x:t>
  </x:si>
  <x:si>
    <x:t xml:space="preserve">docs.github.com/en/copilot/get-started/plans</x:t>
  </x:si>
  <x:si>
    <x:t xml:space="preserve">GitHub Copilot Business / Enterprise</x:t>
  </x:si>
  <x:si>
    <x:t xml:space="preserve">19 / 39</x:t>
  </x:si>
  <x:si>
    <x:t xml:space="preserve">$ / seat / tháng</x:t>
  </x:si>
  <x:si>
    <x:t xml:space="preserve">Notion — Business / credits</x:t>
  </x:si>
  <x:si>
    <x:t xml:space="preserve">20 / 10 per 1.000</x:t>
  </x:si>
  <x:si>
    <x:t xml:space="preserve">$ / member / tháng</x:t>
  </x:si>
  <x:si>
    <x:t xml:space="preserve">notion.com/pricing</x:t>
  </x:si>
  <x:si>
    <x:t xml:space="preserve">Benchmark</x:t>
  </x:si>
  <x:si>
    <x:t xml:space="preserve">Gross Margin AI-native 2026E</x:t>
  </x:si>
  <x:si>
    <x:t xml:space="preserve">≈ 53%</x:t>
  </x:si>
  <x:si>
    <x:t xml:space="preserve">%</x:t>
  </x:si>
  <x:si>
    <x:t xml:space="preserve">ICONIQ, 2026 State of AI: The Builder's Economy (07/2026)</x:t>
  </x:si>
  <x:si>
    <x:t xml:space="preserve">Gross Margin cloud (middle 50%)</x:t>
  </x:si>
  <x:si>
    <x:t xml:space="preserve">60 – 80%</x:t>
  </x:si>
  <x:si>
    <x:t xml:space="preserve">Bessemer, Scaling to $100 Million (2024)</x:t>
  </x:si>
  <x:si>
    <x:t xml:space="preserve">Vertical AI — GM / model cost</x:t>
  </x:si>
  <x:si>
    <x:t xml:space="preserve">≈65% / ≈10% doanh thu</x:t>
  </x:si>
  <x:si>
    <x:t xml:space="preserve">Bessemer, State of the Cloud 2024</x:t>
  </x:si>
  <x:si>
    <x:t xml:space="preserve">CAC payback SMB / Mid / Enterprise</x:t>
  </x:si>
  <x:si>
    <x:t xml:space="preserve">12 / 18 / 24</x:t>
  </x:si>
  <x:si>
    <x:t xml:space="preserve">LTV : CAC</x:t>
  </x:si>
  <x:si>
    <x:t xml:space="preserve">≥ 3×</x:t>
  </x:si>
  <x:si>
    <x:t xml:space="preserve">lần</x:t>
  </x:si>
  <x:si>
    <x:t xml:space="preserve">David Skok, SaaS Metrics 2.0 (cập nhật 06/2026)</x:t>
  </x:si>
  <x:si>
    <x:t xml:space="preserve">Cost per opportunity 2026 (theo phân khúc)</x:t>
  </x:si>
  <x:si>
    <x:t xml:space="preserve">6.300 · 8.000 · 11.200</x:t>
  </x:si>
  <x:si>
    <x:t xml:space="preserve">$</x:t>
  </x:si>
  <x:si>
    <x:t xml:space="preserve">ICONIQ, State of GTM 2026 (tr.22)</x:t>
  </x:si>
  <x:si>
    <x:t xml:space="preserve">ACV sàn cho inside sales</x:t>
  </x:si>
  <x:si>
    <x:t xml:space="preserve">≈ 3.000</x:t>
  </x:si>
  <x:si>
    <x:t xml:space="preserve">$ / năm</x:t>
  </x:si>
  <x:si>
    <x:t xml:space="preserve">Tomasz Tunguz (2016) — có kèm giả định để tính lại</x:t>
  </x:si>
  <x:si>
    <x:t xml:space="preserve">Lưu ý: trang marketing của nhà cung cấp có thể hiển thị giá cũ hơn trang docs. Ưu tiên trang docs / pricing chính thức.</x:t>
  </x:si>
</x:sst>
</file>

<file path=xl/styles.xml><?xml version="1.0" encoding="utf-8"?>
<x:styleSheet xmlns:x="http://schemas.openxmlformats.org/spreadsheetml/2006/main">
  <x:numFmts count="7">
    <x:numFmt numFmtId="164" formatCode="\$#,##0.0000"/>
    <x:numFmt numFmtId="165" formatCode="0.0%"/>
    <x:numFmt numFmtId="166" formatCode="#,##0.0"/>
    <x:numFmt numFmtId="167" formatCode="\$#,##0.00"/>
    <x:numFmt numFmtId="168" formatCode="\$#,##0"/>
    <x:numFmt numFmtId="169" formatCode="#,##0.0\×"/>
    <x:numFmt numFmtId="170" formatCode="#,##0&quot; ₫&quot;"/>
  </x:numFmts>
  <x:fonts count="11">
    <x:font>
      <x:sz val="11"/>
      <x:color theme="1"/>
      <x:name val="Calibri"/>
    </x:font>
    <x:font>
      <x:b/>
      <x:sz val="14"/>
      <x:color rgb="FFFFFFFF"/>
      <x:name val="Arial"/>
    </x:font>
    <x:font>
      <x:sz val="11"/>
      <x:color theme="1"/>
      <x:name val="Calibri"/>
    </x:font>
    <x:font>
      <x:i/>
      <x:sz val="9"/>
      <x:color rgb="FF666666"/>
      <x:name val="Arial"/>
    </x:font>
    <x:font>
      <x:b/>
      <x:sz val="11"/>
      <x:color rgb="FF1F2937"/>
      <x:name val="Arial"/>
    </x:font>
    <x:font>
      <x:sz val="10"/>
      <x:color theme="1"/>
      <x:name val="Arial"/>
    </x:font>
    <x:font>
      <x:sz val="10"/>
      <x:color rgb="FF0000FF"/>
      <x:name val="Arial"/>
    </x:font>
    <x:font>
      <x:sz val="10"/>
      <x:color rgb="FF008000"/>
      <x:name val="Arial"/>
    </x:font>
    <x:font>
      <x:b/>
      <x:sz val="10"/>
      <x:color theme="1"/>
      <x:name val="Arial"/>
    </x:font>
    <x:font>
      <x:b/>
      <x:sz val="11"/>
      <x:color rgb="FFC00000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lightGray"/>
    </x:fill>
    <x:fill>
      <x:patternFill patternType="solid">
        <x:fgColor rgb="FF1F2937"/>
      </x:patternFill>
    </x:fill>
    <x:fill>
      <x:patternFill patternType="solid">
        <x:fgColor rgb="FFE8EAF6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EDEDED"/>
      </x:patternFill>
    </x:fill>
  </x:fills>
  <x:borders count="3">
    <x:border/>
    <x:border/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</x:borders>
  <x:cellStyleXfs count="1">
    <x:xf numFmtId="0" fontId="0" fillId="0" borderId="0" applyFont="1" applyAlignment="1"/>
  </x:cellStyleXfs>
  <x:cellXfs count="56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vertical="bottom" wrapText="0"/>
    </x:xf>
    <x:xf numFmtId="0" fontId="2" fillId="2" borderId="1" xfId="0" applyFont="1" applyFill="1" applyBorder="1" applyAlignment="1">
      <x:alignment vertical="bottom" wrapText="0"/>
    </x:xf>
    <x:xf numFmtId="0" fontId="3" fillId="0" borderId="0" xfId="0" applyFont="1" applyAlignment="1">
      <x:alignment vertical="bottom" wrapText="0"/>
    </x:xf>
    <x:xf numFmtId="0" fontId="4" fillId="3" borderId="1" xfId="0" applyFont="1" applyFill="1" applyBorder="1" applyAlignment="1">
      <x:alignment vertical="bottom" wrapText="0"/>
    </x:xf>
    <x:xf numFmtId="0" fontId="2" fillId="3" borderId="1" xfId="0" applyFont="1" applyFill="1" applyBorder="1" applyAlignment="1">
      <x:alignment vertical="bottom" wrapText="0"/>
    </x:xf>
    <x:xf numFmtId="0" fontId="5" fillId="0" borderId="0" xfId="0" applyFont="1" applyAlignment="1">
      <x:alignment vertical="bottom" wrapText="0"/>
    </x:xf>
    <x:xf numFmtId="0" fontId="6" fillId="4" borderId="2" xfId="0" applyFont="1" applyFill="1" applyBorder="1" applyAlignment="1">
      <x:alignment horizontal="center" vertical="bottom" wrapText="0"/>
    </x:xf>
    <x:xf numFmtId="0" fontId="6" fillId="4" borderId="2" xfId="0" applyFont="1" applyFill="1" applyBorder="1" applyAlignment="1">
      <x:alignment vertical="bottom" wrapText="0"/>
    </x:xf>
    <x:xf numFmtId="0" fontId="3" fillId="0" borderId="0" xfId="0" applyFont="1" applyAlignment="1">
      <x:alignment vertical="bottom" wrapText="0"/>
    </x:xf>
    <x:xf numFmtId="0" fontId="6" fillId="4" borderId="2" xfId="0" applyFont="1" applyFill="1" applyBorder="1" applyAlignment="1">
      <x:alignment horizontal="center" vertical="bottom" wrapText="0"/>
    </x:xf>
    <x:xf numFmtId="3" fontId="6" fillId="4" borderId="2" xfId="0" applyNumberFormat="1" applyFont="1" applyFill="1" applyBorder="1" applyAlignment="1">
      <x:alignment vertical="bottom" wrapText="0"/>
    </x:xf>
    <x:xf numFmtId="0" fontId="8" fillId="0" borderId="0" xfId="0" applyFont="1" applyAlignment="1">
      <x:alignment vertical="bottom" wrapText="0"/>
    </x:xf>
    <x:xf numFmtId="164" fontId="7" fillId="5" borderId="2" xfId="0" applyNumberFormat="1" applyFont="1" applyFill="1" applyBorder="1" applyAlignment="1">
      <x:alignment vertical="bottom" wrapText="0"/>
    </x:xf>
    <x:xf numFmtId="0" fontId="4" fillId="0" borderId="0" xfId="0" applyFont="1" applyAlignment="1">
      <x:alignment vertical="bottom" wrapText="0"/>
    </x:xf>
    <x:xf numFmtId="165" fontId="6" fillId="4" borderId="2" xfId="0" applyNumberFormat="1" applyFont="1" applyFill="1" applyBorder="1" applyAlignment="1">
      <x:alignment vertical="bottom" wrapText="0"/>
    </x:xf>
    <x:xf numFmtId="0" fontId="6" fillId="4" borderId="2" xfId="0" applyFont="1" applyFill="1" applyBorder="1" applyAlignment="1">
      <x:alignment vertical="bottom" wrapText="0"/>
    </x:xf>
    <x:xf numFmtId="166" fontId="6" fillId="4" borderId="2" xfId="0" applyNumberFormat="1" applyFont="1" applyFill="1" applyBorder="1" applyAlignment="1">
      <x:alignment vertical="bottom" wrapText="0"/>
    </x:xf>
    <x:xf numFmtId="0" fontId="5" fillId="5" borderId="2" xfId="0" applyFont="1" applyFill="1" applyBorder="1" applyAlignment="1">
      <x:alignment vertical="bottom" wrapText="0"/>
    </x:xf>
    <x:xf numFmtId="0" fontId="7" fillId="0" borderId="2" xfId="0" applyFont="1" applyBorder="1" applyAlignment="1">
      <x:alignment vertical="bottom" wrapText="0"/>
    </x:xf>
    <x:xf numFmtId="3" fontId="5" fillId="5" borderId="2" xfId="0" applyNumberFormat="1" applyFont="1" applyFill="1" applyBorder="1" applyAlignment="1">
      <x:alignment vertical="bottom" wrapText="0"/>
    </x:xf>
    <x:xf numFmtId="3" fontId="9" fillId="5" borderId="2" xfId="0" applyNumberFormat="1" applyFont="1" applyFill="1" applyBorder="1" applyAlignment="1">
      <x:alignment vertical="bottom" wrapText="0"/>
    </x:xf>
    <x:xf numFmtId="0" fontId="5" fillId="6" borderId="2" xfId="0" applyFont="1" applyFill="1" applyBorder="1" applyAlignment="1">
      <x:alignment vertical="bottom" wrapText="0"/>
    </x:xf>
    <x:xf numFmtId="164" fontId="9" fillId="5" borderId="2" xfId="0" applyNumberFormat="1" applyFont="1" applyFill="1" applyBorder="1" applyAlignment="1">
      <x:alignment vertical="bottom" wrapText="0"/>
    </x:xf>
    <x:xf numFmtId="167" fontId="6" fillId="4" borderId="2" xfId="0" applyNumberFormat="1" applyFont="1" applyFill="1" applyBorder="1" applyAlignment="1">
      <x:alignment vertical="bottom" wrapText="0"/>
    </x:xf>
    <x:xf numFmtId="168" fontId="6" fillId="4" borderId="2" xfId="0" applyNumberFormat="1" applyFont="1" applyFill="1" applyBorder="1" applyAlignment="1">
      <x:alignment vertical="bottom" wrapText="0"/>
    </x:xf>
    <x:xf numFmtId="3" fontId="6" fillId="4" borderId="2" xfId="0" applyNumberFormat="1" applyFont="1" applyFill="1" applyBorder="1" applyAlignment="1">
      <x:alignment vertical="bottom" wrapText="0"/>
    </x:xf>
    <x:xf numFmtId="164" fontId="5" fillId="5" borderId="2" xfId="0" applyNumberFormat="1" applyFont="1" applyFill="1" applyBorder="1" applyAlignment="1">
      <x:alignment vertical="bottom" wrapText="0"/>
    </x:xf>
    <x:xf numFmtId="0" fontId="9" fillId="5" borderId="2" xfId="0" applyFont="1" applyFill="1" applyBorder="1" applyAlignment="1">
      <x:alignment vertical="bottom" wrapText="0"/>
    </x:xf>
    <x:xf numFmtId="0" fontId="8" fillId="6" borderId="2" xfId="0" applyFont="1" applyFill="1" applyBorder="1" applyAlignment="1">
      <x:alignment vertical="bottom" wrapText="0"/>
    </x:xf>
    <x:xf numFmtId="164" fontId="6" fillId="4" borderId="2" xfId="0" applyNumberFormat="1" applyFont="1" applyFill="1" applyBorder="1" applyAlignment="1">
      <x:alignment vertical="bottom" wrapText="0"/>
    </x:xf>
    <x:xf numFmtId="169" fontId="5" fillId="5" borderId="2" xfId="0" applyNumberFormat="1" applyFont="1" applyFill="1" applyBorder="1" applyAlignment="1">
      <x:alignment vertical="bottom" wrapText="0"/>
    </x:xf>
    <x:xf numFmtId="165" fontId="5" fillId="5" borderId="2" xfId="0" applyNumberFormat="1" applyFont="1" applyFill="1" applyBorder="1" applyAlignment="1">
      <x:alignment vertical="bottom" wrapText="0"/>
    </x:xf>
    <x:xf numFmtId="165" fontId="9" fillId="5" borderId="2" xfId="0" applyNumberFormat="1" applyFont="1" applyFill="1" applyBorder="1" applyAlignment="1">
      <x:alignment vertical="bottom" wrapText="0"/>
    </x:xf>
    <x:xf numFmtId="165" fontId="6" fillId="4" borderId="2" xfId="0" applyNumberFormat="1" applyFont="1" applyFill="1" applyBorder="1" applyAlignment="1">
      <x:alignment vertical="bottom" wrapText="0"/>
    </x:xf>
    <x:xf numFmtId="167" fontId="5" fillId="5" borderId="2" xfId="0" applyNumberFormat="1" applyFont="1" applyFill="1" applyBorder="1" applyAlignment="1">
      <x:alignment vertical="bottom" wrapText="0"/>
    </x:xf>
    <x:xf numFmtId="167" fontId="9" fillId="5" borderId="2" xfId="0" applyNumberFormat="1" applyFont="1" applyFill="1" applyBorder="1" applyAlignment="1">
      <x:alignment vertical="bottom" wrapText="0"/>
    </x:xf>
    <x:xf numFmtId="165" fontId="7" fillId="5" borderId="2" xfId="0" applyNumberFormat="1" applyFont="1" applyFill="1" applyBorder="1" applyAlignment="1">
      <x:alignment vertical="bottom" wrapText="0"/>
    </x:xf>
    <x:xf numFmtId="170" fontId="5" fillId="5" borderId="2" xfId="0" applyNumberFormat="1" applyFont="1" applyFill="1" applyBorder="1" applyAlignment="1">
      <x:alignment vertical="bottom" wrapText="0"/>
    </x:xf>
    <x:xf numFmtId="165" fontId="5" fillId="6" borderId="2" xfId="0" applyNumberFormat="1" applyFont="1" applyFill="1" applyBorder="1" applyAlignment="1">
      <x:alignment vertical="bottom" wrapText="0"/>
    </x:xf>
    <x:xf numFmtId="0" fontId="6" fillId="4" borderId="2" xfId="0" applyFont="1" applyFill="1" applyBorder="1" applyAlignment="1">
      <x:alignment vertical="top" wrapText="1"/>
    </x:xf>
    <x:xf numFmtId="168" fontId="9" fillId="5" borderId="2" xfId="0" applyNumberFormat="1" applyFont="1" applyFill="1" applyBorder="1" applyAlignment="1">
      <x:alignment vertical="bottom" wrapText="0"/>
    </x:xf>
    <x:xf numFmtId="168" fontId="5" fillId="5" borderId="2" xfId="0" applyNumberFormat="1" applyFont="1" applyFill="1" applyBorder="1" applyAlignment="1">
      <x:alignment vertical="bottom" wrapText="0"/>
    </x:xf>
    <x:xf numFmtId="4" fontId="9" fillId="5" borderId="2" xfId="0" applyNumberFormat="1" applyFont="1" applyFill="1" applyBorder="1" applyAlignment="1">
      <x:alignment vertical="bottom" wrapText="0"/>
    </x:xf>
    <x:xf numFmtId="169" fontId="9" fillId="5" borderId="2" xfId="0" applyNumberFormat="1" applyFont="1" applyFill="1" applyBorder="1" applyAlignment="1">
      <x:alignment vertical="bottom" wrapText="0"/>
    </x:xf>
    <x:xf numFmtId="0" fontId="10" fillId="2" borderId="2" xfId="0" applyFont="1" applyFill="1" applyBorder="1" applyAlignment="1">
      <x:alignment vertical="bottom" wrapText="0"/>
    </x:xf>
    <x:xf numFmtId="0" fontId="5" fillId="6" borderId="2" xfId="0" applyFont="1" applyFill="1" applyBorder="1" applyAlignment="1">
      <x:alignment vertical="top" wrapText="0"/>
    </x:xf>
    <x:xf numFmtId="0" fontId="3" fillId="6" borderId="2" xfId="0" applyFont="1" applyFill="1" applyBorder="1" applyAlignment="1">
      <x:alignment vertical="top" wrapText="1"/>
    </x:xf>
    <x:xf numFmtId="0" fontId="6" fillId="4" borderId="2" xfId="0" applyNumberFormat="1" applyFont="1" applyFill="1" applyBorder="1" applyAlignment="1">
      <x:alignment vertical="bottom" wrapText="1"/>
    </x:xf>
    <x:xf numFmtId="0" fontId="0" fillId="0" borderId="0" xfId="0" applyNumberFormat="1" applyFont="1" applyFill="1" applyBorder="1" applyAlignment="1">
      <x:alignment vertical="bottom" wrapText="1"/>
    </x:xf>
    <x:xf numFmtId="0" fontId="6" fillId="4" borderId="2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bottom" wrapText="1"/>
    </x:xf>
    <x:xf numFmtId="0" fontId="5" fillId="5" borderId="2" xfId="0" applyNumberFormat="1" applyFont="1" applyFill="1" applyBorder="1" applyAlignment="1">
      <x:alignment vertical="bottom" wrapText="1"/>
    </x:xf>
    <x:xf numFmtId="0" fontId="5" fillId="0" borderId="0" xfId="0" applyNumberFormat="1" applyFont="1" applyFill="1" applyBorder="1" applyAlignment="1">
      <x:alignment vertical="bottom"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19d31491f24e48" /><Relationship Type="http://schemas.openxmlformats.org/officeDocument/2006/relationships/theme" Target="/xl/theme/theme1.xml" Id="R2306ec6f9c174126" /><Relationship Type="http://schemas.openxmlformats.org/officeDocument/2006/relationships/sharedStrings" Target="/xl/sharedStrings.xml" Id="Rdc7df0a5dd424bde" /><Relationship Type="http://schemas.openxmlformats.org/officeDocument/2006/relationships/worksheet" Target="/xl/worksheets/sheet1.xml" Id="R6d34f885bbc64297" /><Relationship Type="http://schemas.openxmlformats.org/officeDocument/2006/relationships/worksheet" Target="/xl/worksheets/sheet2.xml" Id="R8f4d390e45f240d9" /><Relationship Type="http://schemas.openxmlformats.org/officeDocument/2006/relationships/worksheet" Target="/xl/worksheets/sheet3.xml" Id="Rfc1ca91b868e4145" /><Relationship Type="http://schemas.openxmlformats.org/officeDocument/2006/relationships/worksheet" Target="/xl/worksheets/sheet4.xml" Id="R5dd7c84360264b53" /><Relationship Type="http://schemas.openxmlformats.org/officeDocument/2006/relationships/worksheet" Target="/xl/worksheets/sheet5.xml" Id="R5139cf9adef34cf2" /><Relationship Type="http://schemas.openxmlformats.org/officeDocument/2006/relationships/worksheet" Target="/xl/worksheets/sheet6.xml" Id="Reda4d1da8c2d4241" /><Relationship Type="http://schemas.openxmlformats.org/officeDocument/2006/relationships/worksheet" Target="/xl/worksheets/sheet7.xml" Id="R86431d393cda4e2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8e0c64994f084b5b" /><Relationship Type="http://schemas.openxmlformats.org/officeDocument/2006/relationships/vmlDrawing" Target="/xl/drawings/vmldrawing.vml" Id="R4b1903f8703a4e21" /></Relationships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52" customWidth="1"/>
    <x:col min="2" max="2" width="62" customWidth="1"/>
    <x:col min="3" max="8" width="15" customWidth="1"/>
    <x:col min="9" max="26" width="8.710000038146973" customWidth="1"/>
  </x:cols>
  <x:sheetData>
    <x:row r="1" ht="24" customHeight="1">
      <x:c r="A1" s="1" t="str">
        <x:v>DAY 22 — MONETIZATION MODEL</x:v>
      </x:c>
      <x:c r="B1" s="2"/>
      <x:c r="C1" s="2"/>
      <x:c r="D1" s="2"/>
      <x:c r="E1" s="2"/>
      <x:c r="F1" s="2"/>
      <x:c r="G1" s="2"/>
      <x:c r="H1" s="2"/>
    </x:row>
    <x:row r="2">
      <x:c r="A2" s="3" t="s">
        <x:v>0</x:v>
      </x:c>
    </x:row>
    <x:row r="4">
      <x:c r="A4" s="14" t="s">
        <x:v>1</x:v>
      </x:c>
    </x:row>
    <x:row r="5">
      <x:c r="A5" s="16" t="s">
        <x:v>2</x:v>
      </x:c>
      <x:c r="B5" s="6" t="s">
        <x:v>3</x:v>
      </x:c>
    </x:row>
    <x:row r="6">
      <x:c r="A6" s="18" t="s">
        <x:v>4</x:v>
      </x:c>
      <x:c r="B6" s="6" t="s">
        <x:v>5</x:v>
      </x:c>
    </x:row>
    <x:row r="7">
      <x:c r="A7" s="19" t="s">
        <x:v>6</x:v>
      </x:c>
      <x:c r="B7" s="6" t="s">
        <x:v>7</x:v>
      </x:c>
    </x:row>
    <x:row r="8">
      <x:c r="A8" s="22" t="s">
        <x:v>8</x:v>
      </x:c>
      <x:c r="B8" s="6" t="s">
        <x:v>9</x:v>
      </x:c>
    </x:row>
    <x:row r="10">
      <x:c r="A10" s="14" t="s">
        <x:v>10</x:v>
      </x:c>
    </x:row>
    <x:row r="11">
      <x:c r="A11" s="12" t="s">
        <x:v>11</x:v>
      </x:c>
      <x:c r="B11" s="6" t="s">
        <x:v>12</x:v>
      </x:c>
    </x:row>
    <x:row r="12">
      <x:c r="A12" s="12" t="s">
        <x:v>13</x:v>
      </x:c>
      <x:c r="B12" s="6" t="s">
        <x:v>14</x:v>
      </x:c>
    </x:row>
    <x:row r="13">
      <x:c r="A13" s="12" t="s">
        <x:v>15</x:v>
      </x:c>
      <x:c r="B13" s="6" t="s">
        <x:v>16</x:v>
      </x:c>
    </x:row>
    <x:row r="14">
      <x:c r="A14" s="12" t="s">
        <x:v>17</x:v>
      </x:c>
      <x:c r="B14" s="6" t="s">
        <x:v>18</x:v>
      </x:c>
    </x:row>
    <x:row r="15">
      <x:c r="A15" s="12" t="s">
        <x:v>19</x:v>
      </x:c>
      <x:c r="B15" s="6" t="s">
        <x:v>20</x:v>
      </x:c>
    </x:row>
    <x:row r="16">
      <x:c r="A16" s="12" t="s">
        <x:v>21</x:v>
      </x:c>
      <x:c r="B16" s="6" t="s">
        <x:v>22</x:v>
      </x:c>
    </x:row>
    <x:row r="18">
      <x:c r="A18" s="14" t="s">
        <x:v>23</x:v>
      </x:c>
    </x:row>
    <x:row r="19">
      <x:c r="A19" s="6" t="s">
        <x:v>24</x:v>
      </x:c>
    </x:row>
    <x:row r="20">
      <x:c r="A20" s="6" t="s">
        <x:v>25</x:v>
      </x:c>
    </x:row>
    <x:row r="21" ht="15.75" customHeight="1">
      <x:c r="A21" s="6" t="s">
        <x:v>26</x:v>
      </x:c>
    </x:row>
    <x:row r="22" ht="15.75" customHeight="1"/>
    <x:row r="23" ht="15.75" customHeight="1">
      <x:c r="A23" s="3" t="str">
        <x:v>Giá tham chiếu trong workbook được rà soát theo ngày 07/10/2026. Mức có dấu ⏳ là giá khuyến mại có hạn.</x:v>
      </x:c>
    </x:row>
    <x:row r="24" ht="15.75" customHeight="1">
      <x:c r="A24" s="3" t="s">
        <x:v>27</x:v>
      </x:c>
    </x:row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1" width="46" customWidth="1"/>
    <x:col min="2" max="3" width="16" customWidth="1"/>
    <x:col min="4" max="4" width="52" customWidth="1"/>
    <x:col min="5" max="8" width="15" customWidth="1"/>
    <x:col min="9" max="26" width="8.710000038146973" customWidth="1"/>
  </x:cols>
  <x:sheetData>
    <x:row r="1" ht="24" customHeight="1">
      <x:c r="A1" s="1" t="s">
        <x:v>28</x:v>
      </x:c>
      <x:c r="B1" s="2"/>
      <x:c r="C1" s="2"/>
      <x:c r="D1" s="2"/>
      <x:c r="E1" s="2"/>
      <x:c r="F1" s="2"/>
      <x:c r="G1" s="2"/>
      <x:c r="H1" s="2"/>
    </x:row>
    <x:row r="2">
      <x:c r="A2" s="3" t="s">
        <x:v>29</x:v>
      </x:c>
    </x:row>
    <x:row r="4">
      <x:c r="A4" s="4" t="s">
        <x:v>30</x:v>
      </x:c>
      <x:c r="B4" s="5"/>
      <x:c r="C4" s="5"/>
      <x:c r="D4" s="5"/>
      <x:c r="E4" s="5"/>
      <x:c r="F4" s="5"/>
      <x:c r="G4" s="5"/>
      <x:c r="H4" s="5"/>
    </x:row>
    <x:row r="5">
      <x:c r="A5" s="6" t="s">
        <x:v>31</x:v>
      </x:c>
      <x:c r="B5" s="8" t="str">
        <x:v>Hóa đơn đã trích xuất đủ trường bắt buộc, đối chiếu đạt và sẵn sàng ghi sổ mà không cần sửa tay.</x:v>
      </x:c>
      <x:c r="D5" s="9" t="str">
        <x:v>Positioning A (tool): “AI nhập hóa đơn vào MISA AMIS nhanh hơn.” Positioning B (job): “Xử lý hóa đơn đầu vào thành chứng từ mua hàng nháp đã đối chiếu, sẵn sàng ghi sổ.”</x:v>
      </x:c>
    </x:row>
    <x:row r="6">
      <x:c r="A6" s="6" t="s">
        <x:v>32</x:v>
      </x:c>
      <x:c r="B6" s="10" t="str">
        <x:v>A</x:v>
      </x:c>
      <x:c r="D6" s="3" t="str">
        <x:v>Chọn B: bán công việc xử lý hóa đơn từ ngân sách vận hành/kế toán; kế toán trưởng đề xuất, chủ DN/Giám đốc ký. Job đếm được: một hóa đơn hợp lệ thành chứng từ nháp đạt trường bắt buộc/đối chiếu, không cần sửa tay. Variant A: khách tự chịu ca escalate; nội bộ vẫn chịu QA.</x:v>
      </x:c>
    </x:row>
    <x:row r="7">
      <x:c r="B7"/>
    </x:row>
    <x:row r="8">
      <x:c r="A8" s="4" t="s">
        <x:v>33</x:v>
      </x:c>
      <x:c r="B8" s="5"/>
      <x:c r="C8" s="5"/>
      <x:c r="D8" s="5"/>
      <x:c r="E8" s="5"/>
      <x:c r="F8" s="5"/>
      <x:c r="G8" s="5"/>
      <x:c r="H8" s="5"/>
    </x:row>
    <x:row r="9">
      <x:c r="A9" s="6" t="s">
        <x:v>34</x:v>
      </x:c>
      <x:c r="B9" s="11" t="n">
        <x:v>200</x:v>
      </x:c>
      <x:c r="C9" s="3" t="s">
        <x:v>35</x:v>
      </x:c>
    </x:row>
    <x:row r="10">
      <x:c r="A10" s="6" t="s">
        <x:v>36</x:v>
      </x:c>
      <x:c r="B10" s="15" t="n">
        <x:v>0.7</x:v>
      </x:c>
      <x:c r="D10" s="3" t="s">
        <x:v>37</x:v>
      </x:c>
    </x:row>
    <x:row r="11">
      <x:c r="A11" s="6" t="s">
        <x:v>38</x:v>
      </x:c>
      <x:c r="B11" s="20" t="n">
        <x:f>B9*B10</x:f>
        <x:v>140</x:v>
      </x:c>
      <x:c r="C11" s="3" t="s">
        <x:v>35</x:v>
      </x:c>
      <x:c r="D11" s="3" t="s">
        <x:v>39</x:v>
      </x:c>
    </x:row>
    <x:row r="12">
      <x:c r="A12" s="6" t="s">
        <x:v>40</x:v>
      </x:c>
      <x:c r="B12" s="20" t="n">
        <x:f>B9-B11</x:f>
        <x:v>60</x:v>
      </x:c>
      <x:c r="C12" s="3" t="s">
        <x:v>35</x:v>
      </x:c>
      <x:c r="D12" s="3" t="s">
        <x:v>41</x:v>
      </x:c>
    </x:row>
    <x:row r="14">
      <x:c r="A14" s="4" t="s">
        <x:v>42</x:v>
      </x:c>
      <x:c r="B14" s="5"/>
      <x:c r="C14" s="5"/>
      <x:c r="D14" s="5"/>
      <x:c r="E14" s="5"/>
      <x:c r="F14" s="5"/>
      <x:c r="G14" s="5"/>
      <x:c r="H14" s="5"/>
    </x:row>
    <x:row r="15">
      <x:c r="A15" s="6" t="s">
        <x:v>43</x:v>
      </x:c>
      <x:c r="B15" s="24" t="n">
        <x:v>1</x:v>
      </x:c>
      <x:c r="D15" s="3" t="str">
        <x:v>Claude Haiku 4.5 list price; checked 2026-10-07. Source recorded in 6_Benchmarks.</x:v>
      </x:c>
    </x:row>
    <x:row r="16">
      <x:c r="A16" s="6" t="s">
        <x:v>44</x:v>
      </x:c>
      <x:c r="B16" s="24" t="n">
        <x:v>5</x:v>
      </x:c>
    </x:row>
    <x:row r="17">
      <x:c r="A17" s="6" t="s">
        <x:v>45</x:v>
      </x:c>
      <x:c r="B17" s="24" t="n">
        <x:v>1.25</x:v>
      </x:c>
      <x:c r="D17" s="3" t="s">
        <x:v>46</x:v>
      </x:c>
    </x:row>
    <x:row r="18">
      <x:c r="A18" s="6" t="s">
        <x:v>47</x:v>
      </x:c>
      <x:c r="B18" s="24" t="n">
        <x:v>0.1</x:v>
      </x:c>
      <x:c r="D18" s="3" t="s">
        <x:v>48</x:v>
      </x:c>
    </x:row>
    <x:row r="19">
      <x:c r="A19" s="6" t="s">
        <x:v>49</x:v>
      </x:c>
      <x:c r="B19" s="26" t="n">
        <x:v>1</x:v>
      </x:c>
      <x:c r="C19" s="3" t="s">
        <x:v>50</x:v>
      </x:c>
    </x:row>
    <x:row r="20">
      <x:c r="A20" s="6" t="s">
        <x:v>51</x:v>
      </x:c>
      <x:c r="B20" s="26" t="n">
        <x:v>0</x:v>
      </x:c>
      <x:c r="C20" s="3" t="s">
        <x:v>52</x:v>
      </x:c>
      <x:c r="D20" s="3" t="str">
        <x:v>Conservative base: 0 cacheable tokens until stable-prefix eligibility and cache-hit usage are confirmed in API logs.</x:v>
      </x:c>
    </x:row>
    <x:row r="21" ht="15.75" customHeight="1">
      <x:c r="A21" s="6" t="s">
        <x:v>53</x:v>
      </x:c>
      <x:c r="B21" s="26" t="n">
        <x:v>4000</x:v>
      </x:c>
      <x:c r="C21" s="3" t="s">
        <x:v>52</x:v>
      </x:c>
      <x:c r="D21" s="3" t="str">
        <x:v>Planning estimate: 4,000 fresh input tokens per invoice; measure from API logs during pilot.</x:v>
      </x:c>
    </x:row>
    <x:row r="22" ht="15.75" customHeight="1">
      <x:c r="A22" s="6" t="s">
        <x:v>54</x:v>
      </x:c>
      <x:c r="B22" s="26" t="n">
        <x:v>500</x:v>
      </x:c>
      <x:c r="C22" s="3" t="s">
        <x:v>52</x:v>
      </x:c>
      <x:c r="D22" t="str">
        <x:v>Planning estimate: 500 output tokens per invoice; measure from API logs during pilot.</x:v>
      </x:c>
    </x:row>
    <x:row r="23" ht="15.75" customHeight="1">
      <x:c r="A23" s="6" t="s">
        <x:v>55</x:v>
      </x:c>
      <x:c r="B23" s="27" t="n">
        <x:f>B20*B17/1000000</x:f>
        <x:v>0</x:v>
      </x:c>
    </x:row>
    <x:row r="24" ht="15.75" customHeight="1">
      <x:c r="A24" s="6" t="s">
        <x:v>56</x:v>
      </x:c>
      <x:c r="B24" s="27" t="n">
        <x:f>(B19-1)*B20*B18/1000000</x:f>
        <x:v>0</x:v>
      </x:c>
    </x:row>
    <x:row r="25" ht="15.75" customHeight="1">
      <x:c r="A25" s="6" t="s">
        <x:v>57</x:v>
      </x:c>
      <x:c r="B25" s="27" t="n">
        <x:f>B19*B21*B15/1000000</x:f>
        <x:v>0.004</x:v>
      </x:c>
    </x:row>
    <x:row r="26" ht="15.75" customHeight="1">
      <x:c r="A26" s="6" t="s">
        <x:v>58</x:v>
      </x:c>
      <x:c r="B26" s="27" t="n">
        <x:f>B19*B22*B16/1000000</x:f>
        <x:v>0.0025</x:v>
      </x:c>
    </x:row>
    <x:row r="27" ht="15.75" customHeight="1">
      <x:c r="A27" s="12" t="s">
        <x:v>59</x:v>
      </x:c>
      <x:c r="B27" s="23" t="n">
        <x:f>SUM(B23:B26)</x:f>
        <x:v>0.006500000000000001</x:v>
      </x:c>
    </x:row>
    <x:row r="28" ht="15.75" customHeight="1">
      <x:c r="A28" s="6" t="s">
        <x:v>60</x:v>
      </x:c>
      <x:c r="B28" s="27" t="n">
        <x:f>B19*(B20+B21)*B15/1000000+B26</x:f>
        <x:v>0.006500000000000001</x:v>
      </x:c>
    </x:row>
    <x:row r="29" ht="15.75" customHeight="1">
      <x:c r="A29" s="6" t="s">
        <x:v>61</x:v>
      </x:c>
      <x:c r="B29" s="32" t="n">
        <x:f>IF(B28=0,0,1-B27/B28)</x:f>
        <x:v>0</x:v>
      </x:c>
      <x:c r="D29" s="3" t="str">
        <x:v>0% saving in base case; verify eligible prefix length and cache-hit rate during pilot before applying discount.</x:v>
      </x:c>
    </x:row>
    <x:row r="30" ht="15.75" customHeight="1">
      <x:c r="A30" s="6" t="s">
        <x:v>62</x:v>
      </x:c>
      <x:c r="B30" s="26" t="n">
        <x:v>0</x:v>
      </x:c>
      <x:c r="D30" s="3" t="str">
        <x:v>Base case keeps Batch off until latency/SLA is confirmed. Batch scenario for async invoices: LLM $0.00325/job (= $0.00650 × 50%); compare with B27 before switching.</x:v>
      </x:c>
    </x:row>
    <x:row r="31" ht="15.75" customHeight="1">
      <x:c r="A31" s="12" t="s">
        <x:v>63</x:v>
      </x:c>
      <x:c r="B31" s="23" t="n">
        <x:f>B27*(1-B30*0.5)</x:f>
        <x:v>0.006500000000000001</x:v>
      </x:c>
    </x:row>
    <x:row r="32" ht="15.75" customHeight="1"/>
    <x:row r="33" ht="15.75" customHeight="1">
      <x:c r="A33" s="4" t="s">
        <x:v>64</x:v>
      </x:c>
      <x:c r="B33" s="5"/>
      <x:c r="C33" s="5"/>
      <x:c r="D33" s="5"/>
      <x:c r="E33" s="5"/>
      <x:c r="F33" s="5"/>
      <x:c r="G33" s="5"/>
      <x:c r="H33" s="5"/>
    </x:row>
    <x:row r="34" ht="15.75" customHeight="1">
      <x:c r="A34" s="6" t="s">
        <x:v>65</x:v>
      </x:c>
      <x:c r="B34" s="30" t="n">
        <x:v>0</x:v>
      </x:c>
      <x:c r="D34" s="3" t="str">
        <x:v>Not applicable: invoice intake uses documents, not audio.</x:v>
      </x:c>
    </x:row>
    <x:row r="35" ht="15.75" customHeight="1">
      <x:c r="A35" s="6" t="s">
        <x:v>66</x:v>
      </x:c>
      <x:c r="B35" s="17" t="n">
        <x:v>0</x:v>
      </x:c>
      <x:c r="C35" s="3" t="s">
        <x:v>67</x:v>
      </x:c>
      <x:c r="D35" t="str">
        <x:v>Not applicable: invoice intake uses documents, not audio.</x:v>
      </x:c>
    </x:row>
    <x:row r="36" ht="15.75" customHeight="1">
      <x:c r="A36" s="6" t="s">
        <x:v>68</x:v>
      </x:c>
      <x:c r="B36" s="24" t="n">
        <x:v>0</x:v>
      </x:c>
      <x:c r="D36" s="3" t="str">
        <x:v>Not applicable: invoice intake uses documents, not audio.</x:v>
      </x:c>
    </x:row>
    <x:row r="37" ht="15.75" customHeight="1">
      <x:c r="A37" s="6" t="s">
        <x:v>69</x:v>
      </x:c>
      <x:c r="B37" s="26" t="n">
        <x:v>0</x:v>
      </x:c>
      <x:c r="C37" s="3" t="s">
        <x:v>70</x:v>
      </x:c>
      <x:c r="D37" s="3" t="str">
        <x:v>Not applicable: invoice intake uses documents, not audio.</x:v>
      </x:c>
    </x:row>
    <x:row r="38" ht="15.75" customHeight="1">
      <x:c r="A38" s="6" t="s">
        <x:v>71</x:v>
      </x:c>
      <x:c r="B38" s="27" t="n">
        <x:f>B34*B35+B36*B37/1000000</x:f>
        <x:v>0</x:v>
      </x:c>
    </x:row>
    <x:row r="39" ht="15.75" customHeight="1"/>
    <x:row r="40" ht="15.75" customHeight="1">
      <x:c r="A40" s="4" t="s">
        <x:v>72</x:v>
      </x:c>
      <x:c r="B40" s="5"/>
      <x:c r="C40" s="5"/>
      <x:c r="D40" s="5"/>
      <x:c r="E40" s="5"/>
      <x:c r="F40" s="5"/>
      <x:c r="G40" s="5"/>
      <x:c r="H40" s="5"/>
    </x:row>
    <x:row r="41" ht="15.75" customHeight="1">
      <x:c r="A41" s="6" t="s">
        <x:v>73</x:v>
      </x:c>
      <x:c r="B41" s="30" t="n">
        <x:v>0.033</x:v>
      </x:c>
      <x:c r="D41" s="3" t="str">
        <x:v>Includes $0.030 app infra + $0.003 OCR (2 pages × $1.50/1,000); OCR supports Vietnamese.</x:v>
      </x:c>
    </x:row>
    <x:row r="42" ht="15.75" customHeight="1">
      <x:c r="A42" s="6" t="s">
        <x:v>74</x:v>
      </x:c>
      <x:c r="B42" s="30" t="n">
        <x:v>0</x:v>
      </x:c>
      <x:c r="D42" t="str">
        <x:v>Not applicable: no phone/audio channel in the invoice workflow.</x:v>
      </x:c>
    </x:row>
    <x:row r="43" ht="15.75" customHeight="1">
      <x:c r="A43" s="6" t="s">
        <x:v>75</x:v>
      </x:c>
      <x:c r="B43" s="27" t="n">
        <x:f>B41+B42*B35</x:f>
        <x:v>0.033</x:v>
      </x:c>
    </x:row>
    <x:row r="44" ht="15.75" customHeight="1"/>
    <x:row r="45" ht="15.75" customHeight="1">
      <x:c r="A45" s="4" t="s">
        <x:v>76</x:v>
      </x:c>
      <x:c r="B45" s="5"/>
      <x:c r="C45" s="5"/>
      <x:c r="D45" s="5"/>
      <x:c r="E45" s="5"/>
      <x:c r="F45" s="5"/>
      <x:c r="G45" s="5"/>
      <x:c r="H45" s="5"/>
    </x:row>
    <x:row r="46" ht="15.75" customHeight="1">
      <x:c r="A46" s="6" t="s">
        <x:v>77</x:v>
      </x:c>
      <x:c r="B46" s="34" t="n">
        <x:v>0.08</x:v>
      </x:c>
      <x:c r="D46" s="3" t="str">
        <x:v>8% retry estimate from lab range (5–10%); replace with pilot logs.</x:v>
      </x:c>
    </x:row>
    <x:row r="47" ht="15.75" customHeight="1">
      <x:c r="A47" s="6" t="s">
        <x:v>78</x:v>
      </x:c>
      <x:c r="B47" s="27" t="n">
        <x:f>(B31+B38)*B46</x:f>
        <x:v>0.0005200000000000001</x:v>
      </x:c>
    </x:row>
    <x:row r="48" ht="15.75" customHeight="1"/>
    <x:row r="49" ht="15.75" customHeight="1">
      <x:c r="A49" s="4" t="s">
        <x:v>79</x:v>
      </x:c>
      <x:c r="B49" s="5"/>
      <x:c r="C49" s="5"/>
      <x:c r="D49" s="5"/>
      <x:c r="E49" s="5"/>
      <x:c r="F49" s="5"/>
      <x:c r="G49" s="5"/>
      <x:c r="H49" s="5"/>
    </x:row>
    <x:row r="50" ht="15.75" customHeight="1">
      <x:c r="A50" s="6" t="s">
        <x:v>80</x:v>
      </x:c>
      <x:c r="B50" s="24" t="n">
        <x:v>3</x:v>
      </x:c>
      <x:c r="D50" s="3" t="s">
        <x:v>81</x:v>
      </x:c>
    </x:row>
    <x:row r="51" ht="15.75" customHeight="1">
      <x:c r="A51" s="6" t="s">
        <x:v>82</x:v>
      </x:c>
      <x:c r="B51" s="34" t="n">
        <x:v>0.2</x:v>
      </x:c>
      <x:c r="D51" s="3" t="s">
        <x:v>83</x:v>
      </x:c>
    </x:row>
    <x:row r="52" ht="15.75" customHeight="1">
      <x:c r="A52" s="6" t="s">
        <x:v>84</x:v>
      </x:c>
      <x:c r="B52" s="17" t="n">
        <x:v>5</x:v>
      </x:c>
      <x:c r="C52" s="3" t="s">
        <x:v>67</x:v>
      </x:c>
    </x:row>
    <x:row r="53" ht="15.75" customHeight="1">
      <x:c r="A53" s="6" t="s">
        <x:v>85</x:v>
      </x:c>
      <x:c r="B53" s="17" t="n">
        <x:v>6</x:v>
      </x:c>
      <x:c r="C53" s="3" t="s">
        <x:v>67</x:v>
      </x:c>
      <x:c r="D53" t="str">
        <x:v>6 minutes/case is a placeholder if switching to Variant B; excluded now because Variant A.</x:v>
      </x:c>
    </x:row>
    <x:row r="54" ht="15.75" customHeight="1">
      <x:c r="A54" s="6" t="s">
        <x:v>86</x:v>
      </x:c>
      <x:c r="B54" s="35" t="n">
        <x:f>B9*B51*(B52/60)*B50</x:f>
        <x:v>10</x:v>
      </x:c>
    </x:row>
    <x:row r="55" ht="15.75" customHeight="1">
      <x:c r="A55" s="6" t="s">
        <x:v>87</x:v>
      </x:c>
      <x:c r="B55" s="35" t="n">
        <x:f>IF(B6="B",B12*(B53/60)*B50,0)</x:f>
        <x:v>0</x:v>
      </x:c>
      <x:c r="D55" s="3" t="s">
        <x:v>88</x:v>
      </x:c>
    </x:row>
    <x:row r="56" ht="15.75" customHeight="1">
      <x:c r="A56" s="12" t="s">
        <x:v>89</x:v>
      </x:c>
      <x:c r="B56" s="36" t="n">
        <x:f>B54+B55</x:f>
        <x:v>10</x:v>
      </x:c>
    </x:row>
    <x:row r="57" ht="15.75" customHeight="1"/>
    <x:row r="58" ht="15.75" customHeight="1">
      <x:c r="A58" s="4" t="s">
        <x:v>90</x:v>
      </x:c>
      <x:c r="B58" s="5"/>
      <x:c r="C58" s="5"/>
      <x:c r="D58" s="5"/>
      <x:c r="E58" s="5"/>
      <x:c r="F58" s="5"/>
      <x:c r="G58" s="5"/>
      <x:c r="H58" s="5"/>
    </x:row>
    <x:row r="59" ht="15.75" customHeight="1">
      <x:c r="A59" s="6" t="s">
        <x:v>91</x:v>
      </x:c>
      <x:c r="B59" s="24" t="n">
        <x:v>30</x:v>
      </x:c>
      <x:c r="D59" s="3" t="str">
        <x:v>Planning allocation: $30/month for R&amp;D + Sales; review after pilot.</x:v>
      </x:c>
    </x:row>
    <x:row r="60" ht="15.75" customHeight="1"/>
    <x:row r="61" ht="15.75" customHeight="1">
      <x:c r="A61" s="4" t="s">
        <x:v>92</x:v>
      </x:c>
      <x:c r="B61" s="5"/>
      <x:c r="C61" s="5"/>
      <x:c r="D61" s="5"/>
      <x:c r="E61" s="5"/>
      <x:c r="F61" s="5"/>
      <x:c r="G61" s="5"/>
      <x:c r="H61" s="5"/>
    </x:row>
    <x:row r="62" ht="15.75" customHeight="1">
      <x:c r="A62" s="6" t="s">
        <x:v>93</x:v>
      </x:c>
      <x:c r="B62" s="35" t="n">
        <x:f>B9*(B31+B38+B43+B47)</x:f>
        <x:v>8.004</x:v>
      </x:c>
    </x:row>
    <x:row r="63" ht="15.75" customHeight="1">
      <x:c r="A63" s="6" t="s">
        <x:v>94</x:v>
      </x:c>
      <x:c r="B63" s="35" t="n">
        <x:f>B56</x:f>
        <x:v>10</x:v>
      </x:c>
    </x:row>
    <x:row r="64" ht="15.75" customHeight="1">
      <x:c r="A64" s="6" t="s">
        <x:v>95</x:v>
      </x:c>
      <x:c r="B64" s="35" t="n">
        <x:f>B59</x:f>
        <x:v>30</x:v>
      </x:c>
    </x:row>
    <x:row r="65" ht="15.75" customHeight="1">
      <x:c r="A65" s="6" t="s">
        <x:v>96</x:v>
      </x:c>
      <x:c r="B65" s="35" t="n">
        <x:f>B62+B63+B64</x:f>
        <x:v>48.004</x:v>
      </x:c>
    </x:row>
    <x:row r="66" ht="15.75" customHeight="1">
      <x:c r="A66" s="12" t="s">
        <x:v>97</x:v>
      </x:c>
      <x:c r="B66" s="23" t="n">
        <x:f>IF(B11=0,0,(B62+B63)/B11)</x:f>
        <x:v>0.1286</x:v>
      </x:c>
      <x:c r="C66" s="3" t="s">
        <x:v>98</x:v>
      </x:c>
      <x:c r="D66" s="3" t="s">
        <x:v>99</x:v>
      </x:c>
    </x:row>
    <x:row r="67" ht="15.75" customHeight="1">
      <x:c r="A67" s="12" t="s">
        <x:v>100</x:v>
      </x:c>
      <x:c r="B67" s="23" t="n">
        <x:f>IF(B11=0,0,B65/B11)</x:f>
        <x:v>0.3428857142857143</x:v>
      </x:c>
      <x:c r="C67" s="3" t="s">
        <x:v>98</x:v>
      </x:c>
    </x:row>
    <x:row r="68" ht="15.75" customHeight="1">
      <x:c r="A68" s="6" t="s">
        <x:v>101</x:v>
      </x:c>
      <x:c r="B68" s="26" t="n">
        <x:v>26170</x:v>
      </x:c>
      <x:c r="C68" s="3" t="s">
        <x:v>102</x:v>
      </x:c>
      <x:c r="D68" s="3" t="str">
        <x:v>Vietcombank USD selling rate 26,170 VND/USD on 2026-10-07; source recorded in 6_Benchmarks.</x:v>
      </x:c>
    </x:row>
    <x:row r="69" ht="15.75" customHeight="1">
      <x:c r="A69" s="6" t="s">
        <x:v>103</x:v>
      </x:c>
      <x:c r="B69" s="38" t="n">
        <x:f>B67*B68</x:f>
        <x:v>8973.319142857143</x:v>
      </x:c>
      <x:c r="C69" s="3" t="s">
        <x:v>104</x:v>
      </x:c>
    </x:row>
    <x:row r="70" ht="15.75" customHeight="1"/>
    <x:row r="71" ht="15.75" customHeight="1">
      <x:c r="A71" s="4" t="s">
        <x:v>105</x:v>
      </x:c>
      <x:c r="B71" s="5"/>
      <x:c r="C71" s="5"/>
      <x:c r="D71" s="5"/>
      <x:c r="E71" s="5"/>
      <x:c r="F71" s="5"/>
      <x:c r="G71" s="5"/>
      <x:c r="H71" s="5"/>
    </x:row>
    <x:row r="72" ht="15.75" customHeight="1">
      <x:c r="A72" s="6" t="s">
        <x:v>106</x:v>
      </x:c>
      <x:c r="B72" s="35" t="n">
        <x:f>B9*B31</x:f>
        <x:v>1.3</x:v>
      </x:c>
      <x:c r="C72" s="32" t="n">
        <x:f t="shared" ref="C72:C77" si="1">IF($B$65=0,0,B72/$B$65)</x:f>
        <x:v>0.027081076576951923</x:v>
      </x:c>
    </x:row>
    <x:row r="73" ht="15.75" customHeight="1">
      <x:c r="A73" s="6" t="s">
        <x:v>107</x:v>
      </x:c>
      <x:c r="B73" s="35" t="n">
        <x:f>B9*B38</x:f>
        <x:v>0</x:v>
      </x:c>
      <x:c r="C73" s="32" t="n">
        <x:f t="shared" si="1">IF($B$65=0,0,B73/$B$65)</x:f>
        <x:v>0</x:v>
      </x:c>
    </x:row>
    <x:row r="74" ht="15.75" customHeight="1">
      <x:c r="A74" s="6" t="s">
        <x:v>108</x:v>
      </x:c>
      <x:c r="B74" s="35" t="n">
        <x:f>B9*B43</x:f>
        <x:v>6.6000000000000005</x:v>
      </x:c>
      <x:c r="C74" s="32" t="n">
        <x:f t="shared" si="1">IF($B$65=0,0,B74/$B$65)</x:f>
        <x:v>0.13748854262144822</x:v>
      </x:c>
    </x:row>
    <x:row r="75" ht="15.75" customHeight="1">
      <x:c r="A75" s="6" t="s">
        <x:v>109</x:v>
      </x:c>
      <x:c r="B75" s="35" t="n">
        <x:f>B9*B47</x:f>
        <x:v>0.10400000000000001</x:v>
      </x:c>
      <x:c r="C75" s="32" t="n">
        <x:f t="shared" si="1">IF($B$65=0,0,B75/$B$65)</x:f>
        <x:v>0.002166486126156154</x:v>
      </x:c>
    </x:row>
    <x:row r="76" ht="15.75" customHeight="1">
      <x:c r="A76" s="6" t="s">
        <x:v>110</x:v>
      </x:c>
      <x:c r="B76" s="35" t="n">
        <x:f>B56</x:f>
        <x:v>10</x:v>
      </x:c>
      <x:c r="C76" s="32" t="n">
        <x:f t="shared" si="1">IF($B$65=0,0,B76/$B$65)</x:f>
        <x:v>0.20831597366886093</x:v>
      </x:c>
    </x:row>
    <x:row r="77" ht="15.75" customHeight="1">
      <x:c r="A77" s="6" t="s">
        <x:v>111</x:v>
      </x:c>
      <x:c r="B77" s="35" t="n">
        <x:f>B59</x:f>
        <x:v>30</x:v>
      </x:c>
      <x:c r="C77" s="32" t="n">
        <x:f t="shared" si="1">IF($B$65=0,0,B77/$B$65)</x:f>
        <x:v>0.6249479210065828</x:v>
      </x:c>
    </x:row>
    <x:row r="78" ht="15.75" customHeight="1">
      <x:c r="A78" s="3" t="s">
        <x:v>112</x:v>
      </x:c>
    </x:row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1">
    <x:dataValidation type="list" allowBlank="1" sqref="B6">
      <x:formula1>"A,B"</x:formula1>
    </x:dataValidation>
  </x:dataValidations>
  <x:pageMargins left="0.7" right="0.7" top="0.75" bottom="0.75" header="0.3" footer="0.3"/>
  <x:legacyDrawing xmlns:r="http://schemas.openxmlformats.org/officeDocument/2006/relationships" r:id="R4b1903f8703a4e21"/>
</x:worksheet>
</file>

<file path=xl/worksheets/sheet3.xml><?xml version="1.0" encoding="utf-8"?>
<x:worksheet xmlns:x="http://schemas.openxmlformats.org/spreadsheetml/2006/main">
  <x:sheetFormatPr defaultColWidth="14.430000305175781" defaultRowHeight="15"/>
  <x:cols>
    <x:col min="1" max="1" width="46" customWidth="1"/>
    <x:col min="2" max="3" width="16" customWidth="1"/>
    <x:col min="4" max="4" width="54" customWidth="1"/>
    <x:col min="5" max="8" width="15" customWidth="1"/>
    <x:col min="9" max="26" width="8.710000038146973" customWidth="1"/>
  </x:cols>
  <x:sheetData>
    <x:row r="1" ht="24" customHeight="1">
      <x:c r="A1" s="1" t="s">
        <x:v>113</x:v>
      </x:c>
      <x:c r="B1" s="2"/>
      <x:c r="C1" s="2"/>
      <x:c r="D1" s="2"/>
      <x:c r="E1" s="2"/>
      <x:c r="F1" s="2"/>
      <x:c r="G1" s="2"/>
      <x:c r="H1" s="2"/>
    </x:row>
    <x:row r="2">
      <x:c r="A2" s="3" t="s">
        <x:v>114</x:v>
      </x:c>
    </x:row>
    <x:row r="4">
      <x:c r="A4" s="4" t="s">
        <x:v>115</x:v>
      </x:c>
      <x:c r="B4" s="5"/>
      <x:c r="C4" s="5"/>
      <x:c r="D4" s="5"/>
      <x:c r="E4" s="5"/>
      <x:c r="F4" s="5"/>
      <x:c r="G4" s="5"/>
      <x:c r="H4" s="5"/>
    </x:row>
    <x:row r="5">
      <x:c r="A5" s="6" t="s">
        <x:v>116</x:v>
      </x:c>
      <x:c r="B5" s="13" t="n">
        <x:f>'1_Cost_Job'!B67</x:f>
        <x:v>0.3428857142857143</x:v>
      </x:c>
      <x:c r="C5" s="3" t="s">
        <x:v>98</x:v>
      </x:c>
    </x:row>
    <x:row r="6">
      <x:c r="A6" s="6" t="s">
        <x:v>117</x:v>
      </x:c>
      <x:c r="B6" s="17">
        <x:v>3.0</x:v>
      </x:c>
      <x:c r="C6" s="3" t="s">
        <x:v>118</x:v>
      </x:c>
      <x:c r="D6" s="3" t="s">
        <x:v>119</x:v>
      </x:c>
    </x:row>
    <x:row r="7">
      <x:c r="A7" s="12" t="s">
        <x:v>120</x:v>
      </x:c>
      <x:c r="B7" s="23" t="n">
        <x:f>B5*B6</x:f>
        <x:v>1.028657142857143</x:v>
      </x:c>
      <x:c r="C7" s="3" t="str">
        <x:v>$/completed job</x:v>
      </x:c>
    </x:row>
    <x:row r="9">
      <x:c r="A9" s="4" t="s">
        <x:v>121</x:v>
      </x:c>
      <x:c r="B9" s="5"/>
      <x:c r="C9" s="5"/>
      <x:c r="D9" s="5"/>
      <x:c r="E9" s="5"/>
      <x:c r="F9" s="5"/>
      <x:c r="G9" s="5"/>
      <x:c r="H9" s="5"/>
    </x:row>
    <x:row r="10" ht="36" customHeight="1">
      <x:c r="A10" s="6" t="str">
        <x:v>Monthly savings hurdle at 25% value capture ($)</x:v>
      </x:c>
      <x:c r="B10" s="25" t="n">
        <x:v>876</x:v>
      </x:c>
      <x:c r="D10" s="52" t="str">
        <x:v>Derived: $219 ARPU ÷ assumed 25% capture. Required savings, not measured; verify with pilot time study.</x:v>
      </x:c>
    </x:row>
    <x:row r="11">
      <x:c r="A11" s="6" t="s">
        <x:v>122</x:v>
      </x:c>
      <x:c r="B11" s="26" t="n">
        <x:v>200</x:v>
      </x:c>
      <x:c r="C11" s="3" t="s">
        <x:v>35</x:v>
      </x:c>
      <x:c r="D11" t="str">
        <x:v>Planning assumption: 200 eligible invoices processed by OCR+LLM/customer/month; all are billable under chosen rule A.</x:v>
      </x:c>
    </x:row>
    <x:row r="12">
      <x:c r="A12" s="6" t="s">
        <x:v>123</x:v>
      </x:c>
      <x:c r="B12" s="27" t="n">
        <x:f>IF(B11=0,0,B10*0.1/B11)</x:f>
        <x:v>0.43800000000000006</x:v>
      </x:c>
      <x:c r="C12" s="3" t="str">
        <x:v>$/billable invoice</x:v>
      </x:c>
    </x:row>
    <x:row r="13">
      <x:c r="A13" s="6" t="s">
        <x:v>124</x:v>
      </x:c>
      <x:c r="B13" s="27" t="n">
        <x:f>IF(B11=0,0,B10*0.25/B11)</x:f>
        <x:v>1.095</x:v>
      </x:c>
      <x:c r="C13" s="3" t="str">
        <x:v>$/billable invoice</x:v>
      </x:c>
    </x:row>
    <x:row r="14">
      <x:c r="A14" s="6" t="s">
        <x:v>125</x:v>
      </x:c>
      <x:c r="B14" s="25" t="n">
        <x:v>334.71811234237674</x:v>
      </x:c>
      <x:c r="D14" s="3" t="str">
        <x:v>Indeed VN accountant salary proxy ₫8,759,573/month, converted at VCB USD sell rate on 2026-10-07; not proof a role is eliminated.</x:v>
      </x:c>
    </x:row>
    <x:row r="15">
      <x:c r="A15" s="6" t="s">
        <x:v>126</x:v>
      </x:c>
      <x:c r="B15" s="27" t="n">
        <x:f>IF(B11=0,0,B14*0.5/B11)</x:f>
        <x:v>0.8367952808559419</x:v>
      </x:c>
      <x:c r="C15" s="3" t="str">
        <x:v>$/billable invoice</x:v>
      </x:c>
    </x:row>
    <x:row r="16">
      <x:c r="A16" s="6" t="s">
        <x:v>127</x:v>
      </x:c>
      <x:c r="B16" s="27" t="n">
        <x:f>IF(B11=0,0,B14*0.7/B11)</x:f>
        <x:v>1.1715133931983184</x:v>
      </x:c>
      <x:c r="C16" s="3" t="str">
        <x:v>$/billable invoice</x:v>
      </x:c>
    </x:row>
    <x:row r="18">
      <x:c r="A18" s="4" t="s">
        <x:v>128</x:v>
      </x:c>
      <x:c r="B18" s="5"/>
      <x:c r="C18" s="5"/>
      <x:c r="D18" s="5"/>
      <x:c r="E18" s="5"/>
      <x:c r="F18" s="5"/>
      <x:c r="G18" s="5"/>
      <x:c r="H18" s="5"/>
    </x:row>
    <x:row r="19" ht="54" customHeight="1">
      <x:c r="A19" s="6" t="str">
        <x:v>★ Usage fee proposed ($ / eligible invoice processed)</x:v>
      </x:c>
      <x:c r="B19" s="30" t="n">
        <x:v>1.05</x:v>
      </x:c>
      <x:c r="C19" s="3" t="str">
        <x:v>$/invoice</x:v>
      </x:c>
      <x:c r="D19" s="52" t="str">
        <x:v>Hybrid: $9/month for workspace/history + $1.05 per eligible invoice processed by OCR+LLM. This fee pays for processing, not a guaranteed successful posting; escalation cases are billable. Duplicates, system failures and retries are free. Customer acceptance is untested.</x:v>
      </x:c>
    </x:row>
    <x:row r="20" ht="42" customHeight="1">
      <x:c r="A20" s="6" t="str">
        <x:v>→ Effective revenue / completed job ÷ Cost/Job</x:v>
      </x:c>
      <x:c r="B20" s="31" t="n">
        <x:f>IF('1_Cost_Job'!B11=0,0,'4_Channel_Fit'!B5/'1_Cost_Job'!B11/B5)</x:f>
        <x:v>4.562119823348054</x:v>
      </x:c>
      <x:c r="D20" s="49" t="str">
        <x:v>$219 monthly revenue ÷ 140 completed jobs = $1.564 revenue/completed job; includes $9 base and billable escalations. Same denominator as Cost/Job.</x:v>
      </x:c>
    </x:row>
    <x:row r="21" ht="15.75" customHeight="1">
      <x:c r="A21" s="12" t="s">
        <x:v>129</x:v>
      </x:c>
      <x:c r="B21" s="33" t="n">
        <x:f>IF('4_Channel_Fit'!B5=0,0,1-'1_Cost_Job'!B65/'4_Channel_Fit'!B5)</x:f>
        <x:v>0.7808036529680366</x:v>
      </x:c>
    </x:row>
    <x:row r="22" ht="15.75" customHeight="1">
      <x:c r="A22" s="6" t="s">
        <x:v>130</x:v>
      </x:c>
      <x:c r="B22" s="18" t="str">
        <x:f>IF(B20&gt;=B6,"OK — ĐẠT","KHÔNG ĐẠT — quay lại tab 1")</x:f>
        <x:v>OK — ĐẠT</x:v>
      </x:c>
    </x:row>
    <x:row r="23" ht="15.75" customHeight="1">
      <x:c r="A23" s="6" t="s">
        <x:v>131</x:v>
      </x:c>
      <x:c r="B23" s="18" t="str">
        <x:f>IF(B21&gt;=0.6,"OK — AN TOÀN (≥60%)",IF(B21&gt;=0.5,"CẢNH BÁO (50–60%)","NGUY HIỂM (&lt;50%)"))</x:f>
        <x:v>OK — AN TOÀN (≥60%)</x:v>
      </x:c>
    </x:row>
    <x:row r="24" ht="15.75" customHeight="1">
      <x:c r="A24" s="6" t="s">
        <x:v>132</x:v>
      </x:c>
      <x:c r="B24" s="18" t="str">
        <x:f>IF(B21&gt;0.85,"NGHI NGỜ — nhiều khả năng bạn quên một khoản chi phí","OK")</x:f>
        <x:v>OK</x:v>
      </x:c>
    </x:row>
    <x:row r="25" ht="15.75" customHeight="1">
      <x:c r="A25" s="6" t="s">
        <x:v>133</x:v>
      </x:c>
      <x:c r="B25" s="18" t="str">
        <x:f>IF(AND(B19&gt;=B7,B19&lt;=MAX(B13,B16)),"OK — trong vùng giá bán","XEM LẠI — ngoài vùng giá sàn/trần")</x:f>
        <x:v>OK — trong vùng giá bán</x:v>
      </x:c>
    </x:row>
    <x:row r="26" ht="15.75" customHeight="1"/>
    <x:row r="27" ht="15.75" customHeight="1">
      <x:c r="A27" s="4" t="s">
        <x:v>134</x:v>
      </x:c>
      <x:c r="B27" s="5"/>
      <x:c r="C27" s="5"/>
      <x:c r="D27" s="5"/>
      <x:c r="E27" s="5"/>
      <x:c r="F27" s="5"/>
      <x:c r="G27" s="5"/>
      <x:c r="H27" s="5"/>
    </x:row>
    <x:row r="28" ht="15.75" customHeight="1">
      <x:c r="A28" s="3" t="s">
        <x:v>135</x:v>
      </x:c>
    </x:row>
    <x:row r="29" ht="15.75" customHeight="1">
      <x:c r="A29" s="6" t="s">
        <x:v>136</x:v>
      </x:c>
      <x:c r="B29" s="13" t="n">
        <x:f>'1_Cost_Job'!B31+'1_Cost_Job'!B38+'1_Cost_Job'!B43+'1_Cost_Job'!B47</x:f>
        <x:v>0.04002</x:v>
      </x:c>
    </x:row>
    <x:row r="30" ht="15.75" customHeight="1">
      <x:c r="A30" s="6" t="s">
        <x:v>137</x:v>
      </x:c>
      <x:c r="B30" s="13" t="n">
        <x:f>'1_Cost_Job'!B51*('1_Cost_Job'!B52/60)*'1_Cost_Job'!B50</x:f>
        <x:v>0.05</x:v>
      </x:c>
    </x:row>
    <x:row r="31" ht="15.75" customHeight="1">
      <x:c r="A31" s="6" t="s">
        <x:v>138</x:v>
      </x:c>
      <x:c r="B31" s="13" t="n">
        <x:f>IF('1_Cost_Job'!B6="B",('1_Cost_Job'!B53/60)*'1_Cost_Job'!B50,0)</x:f>
        <x:v>0</x:v>
      </x:c>
    </x:row>
    <x:row r="32" ht="15.75" customHeight="1">
      <x:c r="A32" s="6" t="s">
        <x:v>139</x:v>
      </x:c>
      <x:c r="B32" s="34">
        <x:v>0.6</x:v>
      </x:c>
    </x:row>
    <x:row r="33" ht="60" customHeight="1">
      <x:c r="A33" s="12" t="str">
        <x:v>★ Outcome-pricing containment threshold (counterfactual)</x:v>
      </x:c>
      <x:c r="B33" s="33" t="n">
        <x:f>IF((B19*(1-B32)+B31)=0,0,(B29+B30+B31+'1_Cost_Job'!B59/'1_Cost_Job'!B9)/(B19*(1-B32)+B31))</x:f>
        <x:v>0.5714761904761905</x:v>
      </x:c>
      <x:c r="D33" s="52" t="str">
        <x:v>Outcome-only counterfactual: $1.05/completed invoice, no $9 base. 57.1% is below the 70% estimate, unverified by Eval. Selected Hybrid Usage GM is independent of containment while 200 eligible invoices remain billable.</x:v>
      </x:c>
    </x:row>
    <x:row r="34" ht="15.75" customHeight="1">
      <x:c r="A34" s="6" t="s">
        <x:v>140</x:v>
      </x:c>
      <x:c r="B34" s="37" t="n">
        <x:f>'1_Cost_Job'!B10</x:f>
        <x:v>0.7</x:v>
      </x:c>
    </x:row>
    <x:row r="35" ht="15.75" customHeight="1">
      <x:c r="A35" s="6" t="s">
        <x:v>141</x:v>
      </x:c>
      <x:c r="B35" s="18" t="str">
        <x:v>TẠM ĐẠT THEO ƯỚC TÍNH — CHƯA CÓ EVAL</x:v>
      </x:c>
    </x:row>
    <x:row r="36" ht="15.75" customHeight="1"/>
    <x:row r="37" ht="15.75" customHeight="1">
      <x:c r="A37" s="4" t="str">
        <x:v>SENSITIVITY — completed-job view (Outcome-pricing counterfactual)</x:v>
      </x:c>
      <x:c r="B37" s="5"/>
      <x:c r="C37" s="5"/>
      <x:c r="D37" s="5"/>
      <x:c r="E37" s="5"/>
      <x:c r="F37" s="5"/>
      <x:c r="G37" s="5"/>
      <x:c r="H37" s="5"/>
    </x:row>
    <x:row r="38" ht="15.75" customHeight="1">
      <x:c r="A38" s="29" t="s">
        <x:v>142</x:v>
      </x:c>
      <x:c r="B38" s="29" t="s">
        <x:v>143</x:v>
      </x:c>
      <x:c r="C38" s="29" t="s">
        <x:v>144</x:v>
      </x:c>
      <x:c r="D38" s="29" t="s">
        <x:v>145</x:v>
      </x:c>
    </x:row>
    <x:row r="39" ht="15.75" customHeight="1">
      <x:c r="A39" s="39">
        <x:v>0.5</x:v>
      </x:c>
      <x:c r="B39" s="27" t="n">
        <x:f t="shared" ref="B39:B44" si="1">('1_Cost_Job'!$B$9*($B$29+$B$30+$B$31*(1-A39))+'1_Cost_Job'!$B$59)/('1_Cost_Job'!$B$9*A39)</x:f>
        <x:v>0.48004</x:v>
      </x:c>
      <x:c r="C39" s="32" t="n">
        <x:f t="shared" ref="C39:C44" si="2">IF(B39=0,0,1-B39/$B$19)</x:f>
        <x:v>0.5428190476190475</x:v>
      </x:c>
      <x:c r="D39" s="18" t="str">
        <x:f t="shared" ref="D39:D44" si="3">IF(C39&gt;=0.6,"An toàn",IF(C39&gt;=0.5,"Căng","NGUY HIỂM"))</x:f>
        <x:v>Căng</x:v>
      </x:c>
    </x:row>
    <x:row r="40" ht="15.75" customHeight="1">
      <x:c r="A40" s="39">
        <x:v>0.6</x:v>
      </x:c>
      <x:c r="B40" s="27" t="n">
        <x:f t="shared" si="1">('1_Cost_Job'!$B$9*($B$29+$B$30+$B$31*(1-A40))+'1_Cost_Job'!$B$59)/('1_Cost_Job'!$B$9*A40)</x:f>
        <x:v>0.40003333333333335</x:v>
      </x:c>
      <x:c r="C40" s="32" t="n">
        <x:f t="shared" si="2">IF(B40=0,0,1-B40/$B$19)</x:f>
        <x:v>0.619015873015873</x:v>
      </x:c>
      <x:c r="D40" s="18" t="str">
        <x:f t="shared" si="3">IF(C40&gt;=0.6,"An toàn",IF(C40&gt;=0.5,"Căng","NGUY HIỂM"))</x:f>
        <x:v>An toàn</x:v>
      </x:c>
    </x:row>
    <x:row r="41" ht="15.75" customHeight="1">
      <x:c r="A41" s="39">
        <x:v>0.7</x:v>
      </x:c>
      <x:c r="B41" s="27" t="n">
        <x:f t="shared" si="1">('1_Cost_Job'!$B$9*($B$29+$B$30+$B$31*(1-A41))+'1_Cost_Job'!$B$59)/('1_Cost_Job'!$B$9*A41)</x:f>
        <x:v>0.3428857142857143</x:v>
      </x:c>
      <x:c r="C41" s="32" t="n">
        <x:f t="shared" si="2">IF(B41=0,0,1-B41/$B$19)</x:f>
        <x:v>0.6734421768707484</x:v>
      </x:c>
      <x:c r="D41" s="18" t="str">
        <x:f t="shared" si="3">IF(C41&gt;=0.6,"An toàn",IF(C41&gt;=0.5,"Căng","NGUY HIỂM"))</x:f>
        <x:v>An toàn</x:v>
      </x:c>
    </x:row>
    <x:row r="42" ht="15.75" customHeight="1">
      <x:c r="A42" s="39">
        <x:v>0.8</x:v>
      </x:c>
      <x:c r="B42" s="27" t="n">
        <x:f t="shared" si="1">('1_Cost_Job'!$B$9*($B$29+$B$30+$B$31*(1-A42))+'1_Cost_Job'!$B$59)/('1_Cost_Job'!$B$9*A42)</x:f>
        <x:v>0.30002500000000004</x:v>
      </x:c>
      <x:c r="C42" s="32" t="n">
        <x:f t="shared" si="2">IF(B42=0,0,1-B42/$B$19)</x:f>
        <x:v>0.7142619047619048</x:v>
      </x:c>
      <x:c r="D42" s="18" t="str">
        <x:f t="shared" si="3">IF(C42&gt;=0.6,"An toàn",IF(C42&gt;=0.5,"Căng","NGUY HIỂM"))</x:f>
        <x:v>An toàn</x:v>
      </x:c>
    </x:row>
    <x:row r="43" ht="15.75" customHeight="1">
      <x:c r="A43" s="39">
        <x:v>0.9</x:v>
      </x:c>
      <x:c r="B43" s="27" t="n">
        <x:f t="shared" si="1">('1_Cost_Job'!$B$9*($B$29+$B$30+$B$31*(1-A43))+'1_Cost_Job'!$B$59)/('1_Cost_Job'!$B$9*A43)</x:f>
        <x:v>0.2666888888888889</x:v>
      </x:c>
      <x:c r="C43" s="32" t="n">
        <x:f t="shared" si="2">IF(B43=0,0,1-B43/$B$19)</x:f>
        <x:v>0.746010582010582</x:v>
      </x:c>
      <x:c r="D43" s="18" t="str">
        <x:f t="shared" si="3">IF(C43&gt;=0.6,"An toàn",IF(C43&gt;=0.5,"Căng","NGUY HIỂM"))</x:f>
        <x:v>An toàn</x:v>
      </x:c>
    </x:row>
    <x:row r="44" ht="15.75" customHeight="1">
      <x:c r="A44" s="39">
        <x:v>0.95</x:v>
      </x:c>
      <x:c r="B44" s="27" t="n">
        <x:f t="shared" si="1">('1_Cost_Job'!$B$9*($B$29+$B$30+$B$31*(1-A44))+'1_Cost_Job'!$B$59)/('1_Cost_Job'!$B$9*A44)</x:f>
        <x:v>0.2526526315789474</x:v>
      </x:c>
      <x:c r="C44" s="32" t="n">
        <x:f t="shared" si="2">IF(B44=0,0,1-B44/$B$19)</x:f>
        <x:v>0.7593784461152882</x:v>
      </x:c>
      <x:c r="D44" s="18" t="str">
        <x:f t="shared" si="3">IF(C44&gt;=0.6,"An toàn",IF(C44&gt;=0.5,"Căng","NGUY HIỂM"))</x:f>
        <x:v>An toàn</x:v>
      </x:c>
    </x:row>
    <x:row r="45" ht="15.75" customHeight="1"/>
    <x:row r="46" ht="15.75" customHeight="1">
      <x:c r="A46" s="3" t="s">
        <x:v>146</x:v>
      </x:c>
    </x:row>
    <x:row r="47" ht="15.75" customHeight="1"/>
    <x:row r="48" ht="15.75" customHeight="1">
      <x:c r="A48" s="4" t="s">
        <x:v>147</x:v>
      </x:c>
      <x:c r="B48" s="5"/>
      <x:c r="C48" s="5"/>
      <x:c r="D48" s="5"/>
      <x:c r="E48" s="5"/>
      <x:c r="F48" s="5"/>
      <x:c r="G48" s="5"/>
      <x:c r="H48" s="5"/>
    </x:row>
    <x:row r="49" ht="15.75" customHeight="1">
      <x:c r="A49" s="12" t="s">
        <x:v>143</x:v>
      </x:c>
      <x:c r="B49" s="23" t="n">
        <x:f>B5</x:f>
        <x:v>0.3428857142857143</x:v>
      </x:c>
    </x:row>
    <x:row r="50" ht="15.75" customHeight="1">
      <x:c r="A50" s="12" t="s">
        <x:v>148</x:v>
      </x:c>
      <x:c r="B50" s="23" t="n">
        <x:f>B7</x:f>
        <x:v>1.028657142857143</x:v>
      </x:c>
    </x:row>
    <x:row r="51" ht="15.75" customHeight="1">
      <x:c r="A51" s="12" t="s">
        <x:v>149</x:v>
      </x:c>
      <x:c r="B51" s="23" t="n">
        <x:f>B19</x:f>
        <x:v>1.05</x:v>
      </x:c>
    </x:row>
    <x:row r="52" ht="15.75" customHeight="1">
      <x:c r="A52" s="12" t="str">
        <x:v>Monthly COGS threshold at GM 50% (Hybrid usage)</x:v>
      </x:c>
      <x:c r="B52" s="33" t="n">
        <x:f>'4_Channel_Fit'!B5*0.5</x:f>
        <x:v>109.5</x:v>
      </x:c>
      <x:c r="D52" t="str">
        <x:v>Above this monthly COGS, blended GM falls below 50%; $219 ARPU × 50%.</x:v>
      </x:c>
    </x:row>
    <x:row r="53" ht="15.75" customHeight="1">
      <x:c r="A53" s="12" t="s">
        <x:v>150</x:v>
      </x:c>
      <x:c r="B53" s="33" t="n">
        <x:f>B33</x:f>
        <x:v>0.5714761904761905</x:v>
      </x:c>
    </x:row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4.430000305175781" defaultRowHeight="15"/>
  <x:cols>
    <x:col min="1" max="1" width="72" customWidth="1"/>
    <x:col min="2" max="2" width="12" customWidth="1"/>
    <x:col min="3" max="3" width="50" customWidth="1"/>
    <x:col min="4" max="4" width="46" customWidth="1"/>
    <x:col min="5" max="8" width="15" customWidth="1"/>
    <x:col min="9" max="26" width="8.710000038146973" customWidth="1"/>
  </x:cols>
  <x:sheetData>
    <x:row r="1" ht="24" customHeight="1">
      <x:c r="A1" s="1" t="s">
        <x:v>151</x:v>
      </x:c>
      <x:c r="B1" s="2"/>
      <x:c r="C1" s="2"/>
      <x:c r="D1" s="2"/>
      <x:c r="E1" s="2"/>
      <x:c r="F1" s="2"/>
      <x:c r="G1" s="2"/>
      <x:c r="H1" s="2"/>
    </x:row>
    <x:row r="2">
      <x:c r="A2" s="3" t="s">
        <x:v>152</x:v>
      </x:c>
    </x:row>
    <x:row r="4">
      <x:c r="A4" s="4" t="s">
        <x:v>153</x:v>
      </x:c>
      <x:c r="B4" s="5"/>
      <x:c r="C4" s="5"/>
      <x:c r="D4" s="5"/>
      <x:c r="E4" s="5"/>
      <x:c r="F4" s="5"/>
      <x:c r="G4" s="5"/>
      <x:c r="H4" s="5"/>
    </x:row>
    <x:row r="5">
      <x:c r="A5" s="6" t="s">
        <x:v>154</x:v>
      </x:c>
      <x:c r="B5" s="7" t="n">
        <x:v>0</x:v>
      </x:c>
      <x:c r="D5" t="str">
        <x:v>Scoring conservatively from files available: 0 = no evidence, 1 = partial estimate, 2 = documented/verified.</x:v>
      </x:c>
    </x:row>
    <x:row r="6">
      <x:c r="A6" s="6" t="s">
        <x:v>155</x:v>
      </x:c>
      <x:c r="B6" s="7" t="n">
        <x:v>0</x:v>
      </x:c>
    </x:row>
    <x:row r="7">
      <x:c r="A7" s="6" t="s">
        <x:v>156</x:v>
      </x:c>
      <x:c r="B7" s="7" t="n">
        <x:v>0</x:v>
      </x:c>
    </x:row>
    <x:row r="8">
      <x:c r="A8" s="6" t="s">
        <x:v>157</x:v>
      </x:c>
      <x:c r="B8" s="7" t="n">
        <x:v>0</x:v>
      </x:c>
    </x:row>
    <x:row r="9">
      <x:c r="A9" s="6" t="s">
        <x:v>158</x:v>
      </x:c>
      <x:c r="B9" s="7" t="n">
        <x:v>2</x:v>
      </x:c>
    </x:row>
    <x:row r="10">
      <x:c r="A10" s="12" t="s">
        <x:v>159</x:v>
      </x:c>
      <x:c r="B10" s="21" t="n">
        <x:f>SUM(B5:B9)</x:f>
        <x:v>2</x:v>
      </x:c>
    </x:row>
    <x:row r="12">
      <x:c r="A12" s="4" t="s">
        <x:v>160</x:v>
      </x:c>
      <x:c r="B12" s="5"/>
      <x:c r="C12" s="5"/>
      <x:c r="D12" s="5"/>
      <x:c r="E12" s="5"/>
      <x:c r="F12" s="5"/>
      <x:c r="G12" s="5"/>
      <x:c r="H12" s="5"/>
    </x:row>
    <x:row r="13">
      <x:c r="A13" s="6" t="s">
        <x:v>161</x:v>
      </x:c>
      <x:c r="B13" s="7" t="n">
        <x:v>1</x:v>
      </x:c>
    </x:row>
    <x:row r="14">
      <x:c r="A14" s="6" t="s">
        <x:v>162</x:v>
      </x:c>
      <x:c r="B14" s="7" t="n">
        <x:v>0</x:v>
      </x:c>
    </x:row>
    <x:row r="15">
      <x:c r="A15" s="6" t="s">
        <x:v>163</x:v>
      </x:c>
      <x:c r="B15" s="7" t="n">
        <x:v>0</x:v>
      </x:c>
    </x:row>
    <x:row r="16">
      <x:c r="A16" s="6" t="s">
        <x:v>164</x:v>
      </x:c>
      <x:c r="B16" s="7" t="n">
        <x:v>0</x:v>
      </x:c>
    </x:row>
    <x:row r="17">
      <x:c r="A17" s="6" t="s">
        <x:v>165</x:v>
      </x:c>
      <x:c r="B17" s="7" t="n">
        <x:v>0</x:v>
      </x:c>
    </x:row>
    <x:row r="18">
      <x:c r="A18" s="12" t="s">
        <x:v>166</x:v>
      </x:c>
      <x:c r="B18" s="21" t="n">
        <x:f>SUM(B13:B17)</x:f>
        <x:v>1</x:v>
      </x:c>
    </x:row>
    <x:row r="20">
      <x:c r="A20" s="4" t="s">
        <x:v>167</x:v>
      </x:c>
      <x:c r="B20" s="5"/>
      <x:c r="C20" s="5"/>
      <x:c r="D20" s="5"/>
      <x:c r="E20" s="5"/>
      <x:c r="F20" s="5"/>
      <x:c r="G20" s="5"/>
      <x:c r="H20" s="5"/>
    </x:row>
    <x:row r="21" ht="15.75" customHeight="1">
      <x:c r="A21" s="12" t="s">
        <x:v>168</x:v>
      </x:c>
      <x:c r="B21" s="28" t="str">
        <x:f>IF(AND(B10&gt;=7,B18&gt;=7),"OUTCOME",IF(AND(B10&gt;=7,B18&lt;7),"USAGE",IF(AND(B10&lt;7,B18&gt;=7),"USAGE (an toàn)","SEAT hoặc HYBRID")))</x:f>
        <x:v>SEAT hoặc HYBRID</x:v>
      </x:c>
    </x:row>
    <x:row r="22" ht="15.75" customHeight="1">
      <x:c r="A22" s="3" t="s">
        <x:v>169</x:v>
      </x:c>
    </x:row>
    <x:row r="23" ht="15.75" customHeight="1"/>
    <x:row r="24" ht="15.75" customHeight="1">
      <x:c r="A24" s="4" t="s">
        <x:v>170</x:v>
      </x:c>
      <x:c r="B24" s="5"/>
      <x:c r="C24" s="5"/>
      <x:c r="D24" s="5"/>
      <x:c r="E24" s="5"/>
      <x:c r="F24" s="5"/>
      <x:c r="G24" s="5"/>
      <x:c r="H24" s="5"/>
    </x:row>
    <x:row r="25" ht="15.75" customHeight="1">
      <x:c r="A25" s="29" t="s">
        <x:v>171</x:v>
      </x:c>
      <x:c r="B25" s="29" t="s">
        <x:v>172</x:v>
      </x:c>
      <x:c r="C25" s="29" t="s">
        <x:v>173</x:v>
      </x:c>
      <x:c r="D25" s="29" t="s">
        <x:v>174</x:v>
      </x:c>
    </x:row>
    <x:row r="26" ht="56" customHeight="1">
      <x:c r="A26" s="16" t="str">
        <x:v>MISA meInvoice — Xử lý hóa đơn hộ kinh doanh</x:v>
      </x:c>
      <x:c r="B26" s="48" t="str">
        <x:v>Usage bundle: invoice-processing credits</x:v>
      </x:c>
      <x:c r="C26" s="48" t="str">
        <x:v>₫390,000 / 300 invoices + ₫500,000/year software fee; ≈ ₫1,300/invoice before annual fee; checked 07/10/2026</x:v>
      </x:c>
      <x:c r="D26" s="16" t="str">
        <x:v>https://store.misa.vn/v3/quote?lang=vi&amp;pid=424</x:v>
      </x:c>
      <x:c r="E26"/>
    </x:row>
    <x:row r="27" ht="56" customHeight="1">
      <x:c r="A27" s="16" t="str">
        <x:v>Dext Business</x:v>
      </x:c>
      <x:c r="B27" s="48" t="str">
        <x:v>Hybrid subscription + document allowance</x:v>
      </x:c>
      <x:c r="C27" s="48" t="str">
        <x:v>$25.21/month when billed annually ($302.50/year); 250 documents/month; 5 users; checked 07/10/2026</x:v>
      </x:c>
      <x:c r="D27" s="16" t="str">
        <x:v>https://dext.com/en/business/pricing</x:v>
      </x:c>
      <x:c r="E27"/>
    </x:row>
    <x:row r="28" ht="15.75" customHeight="1">
      <x:c r="B28" t="str">
        <x:v>Hybrid: $9/tháng/workspace + $1.05 cho hóa đơn hợp lệ đã chạy OCR+LLM. Tính theo công việc xử lý, không cam kết outcome tự động; ca cần người xử lý vẫn tính. Trùng, lỗi hệ thống và retry không tính.</x:v>
      </x:c>
    </x:row>
    <x:row r="29" ht="15.75" customHeight="1">
      <x:c r="A29" s="4" t="s">
        <x:v>175</x:v>
      </x:c>
      <x:c r="B29" s="5"/>
      <x:c r="C29" s="5"/>
      <x:c r="D29" s="5"/>
      <x:c r="E29" s="5"/>
      <x:c r="F29" s="5"/>
      <x:c r="G29" s="5"/>
      <x:c r="H29" s="5"/>
    </x:row>
    <x:row r="30" ht="40" customHeight="1">
      <x:c r="A30" s="6" t="s">
        <x:v>176</x:v>
      </x:c>
      <x:c r="B30" s="50" t="str">
        <x:v>Hybrid: $9/tháng/workspace + $1.05/mỗi hóa đơn hợp lệ đã chạy OCR+LLM; ca escalate vẫn tính, không tính trùng/retry/lỗi hệ thống.</x:v>
      </x:c>
      <x:c r="C30" s="51"/>
      <x:c r="D30" s="51"/>
    </x:row>
    <x:row r="31" ht="40" customHeight="1">
      <x:c r="A31" s="6" t="s">
        <x:v>177</x:v>
      </x:c>
      <x:c r="B31" s="50" t="str">
        <x:v>Chọn Hybrid đúng với gợi ý khi Attribution 2/10 và Autonomy 1/10. Phí nền mua workspace + lịch sử; usage đo số hóa đơn thực sự đã xử lý. Cần thử phản ứng khách với phí cho ca escalate.</x:v>
      </x:c>
      <x:c r="C31" s="51"/>
      <x:c r="D31" s="51"/>
    </x:row>
    <x:row r="32" ht="40" customHeight="1">
      <x:c r="A32" s="6" t="s">
        <x:v>178</x:v>
      </x:c>
      <x:c r="B32" s="50" t="str">
        <x:v>Tính $9/tháng/workspace cộng $1.05 một lần cho mỗi hóa đơn hợp lệ đã chạy OCR+LLM; ca escalate vẫn tính, còn trùng, retry và lỗi hệ thống không tính.</x:v>
      </x:c>
      <x:c r="C32" s="51"/>
      <x:c r="D32" s="51"/>
    </x:row>
    <x:row r="33" ht="40" customHeight="1">
      <x:c r="A33" s="6" t="s">
        <x:v>179</x:v>
      </x:c>
      <x:c r="B33" s="50" t="str">
        <x:v>Attribution 2/10, Autonomy 1/10: chưa có log/eval xác nhận job hoàn tất; containment 70% là giả định. Vì vậy đơn vị tính phí là usage đã xử lý, không phải outcome.</x:v>
      </x:c>
      <x:c r="C33" s="51"/>
      <x:c r="D33" s="51"/>
    </x:row>
    <x:row r="34" ht="40" customHeight="1">
      <x:c r="A34" s="6" t="s">
        <x:v>180</x:v>
      </x:c>
      <x:c r="B34" s="50" t="str">
        <x:v>Ở 200 hóa đơn được tính phí/tháng, COGS trên $87.60 làm GM &lt;60% và trên $109.50 làm GM &lt;50%; khách có thể phản đối phí cho ca escalate, cần kiểm chứng trong pilot.</x:v>
      </x:c>
      <x:c r="C34" s="51"/>
      <x:c r="D34" s="51"/>
    </x:row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30:D30"/>
    <x:mergeCell ref="B31:D31"/>
    <x:mergeCell ref="B32:D32"/>
    <x:mergeCell ref="B33:D33"/>
    <x:mergeCell ref="B34:D3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4.430000305175781" defaultRowHeight="15"/>
  <x:cols>
    <x:col min="1" max="1" width="46" customWidth="1"/>
    <x:col min="2" max="3" width="16" customWidth="1"/>
    <x:col min="4" max="4" width="54" customWidth="1"/>
    <x:col min="5" max="8" width="15" customWidth="1"/>
    <x:col min="9" max="26" width="8.710000038146973" customWidth="1"/>
  </x:cols>
  <x:sheetData>
    <x:row r="1" ht="24" customHeight="1">
      <x:c r="A1" s="1" t="s">
        <x:v>181</x:v>
      </x:c>
      <x:c r="B1" s="2"/>
      <x:c r="C1" s="2"/>
      <x:c r="D1" s="2"/>
      <x:c r="E1" s="2"/>
      <x:c r="F1" s="2"/>
      <x:c r="G1" s="2"/>
      <x:c r="H1" s="2"/>
    </x:row>
    <x:row r="2">
      <x:c r="A2" s="3" t="s">
        <x:v>182</x:v>
      </x:c>
    </x:row>
    <x:row r="4">
      <x:c r="A4" s="4" t="s">
        <x:v>183</x:v>
      </x:c>
      <x:c r="B4" s="5"/>
      <x:c r="C4" s="5"/>
      <x:c r="D4" s="5"/>
      <x:c r="E4" s="5"/>
      <x:c r="F4" s="5"/>
      <x:c r="G4" s="5"/>
      <x:c r="H4" s="5"/>
    </x:row>
    <x:row r="5">
      <x:c r="A5" s="6" t="s">
        <x:v>184</x:v>
      </x:c>
      <x:c r="B5" s="25" t="n">
        <x:v>219</x:v>
      </x:c>
      <x:c r="D5" t="str">
        <x:v>SMB Việt Nam; 200 eligible invoices processed/month is a planning assumption; 140 completed at estimated 70% containment.</x:v>
      </x:c>
    </x:row>
    <x:row r="6">
      <x:c r="A6" s="6" t="s">
        <x:v>185</x:v>
      </x:c>
      <x:c r="B6" s="37" t="n">
        <x:f>'2_Pricing'!B21</x:f>
        <x:v>0.7808036529680366</x:v>
      </x:c>
    </x:row>
    <x:row r="7">
      <x:c r="A7" s="6" t="s">
        <x:v>186</x:v>
      </x:c>
      <x:c r="B7" s="7" t="str">
        <x:v>SMB</x:v>
      </x:c>
      <x:c r="D7" t="str">
        <x:v>SMB Việt Nam; 200 hóa đơn/tháng là giả định pilot.</x:v>
      </x:c>
    </x:row>
    <x:row r="8">
      <x:c r="A8" s="6" t="s">
        <x:v>187</x:v>
      </x:c>
      <x:c r="B8" s="20" t="n">
        <x:f>IF(B7="SMB",12,IF(B7="Mid",18,24))</x:f>
        <x:v>12</x:v>
      </x:c>
      <x:c r="C8" s="3" t="s">
        <x:v>188</x:v>
      </x:c>
      <x:c r="D8" s="3" t="s">
        <x:v>189</x:v>
      </x:c>
    </x:row>
    <x:row r="9">
      <x:c r="A9" s="12" t="s">
        <x:v>190</x:v>
      </x:c>
      <x:c r="B9" s="41" t="n">
        <x:f>B5*B6*B8</x:f>
        <x:v>2051.952</x:v>
      </x:c>
      <x:c r="D9" s="3" t="s">
        <x:v>191</x:v>
      </x:c>
    </x:row>
    <x:row r="10">
      <x:c r="A10" s="6" t="s">
        <x:v>192</x:v>
      </x:c>
      <x:c r="B10" s="42" t="n">
        <x:f>B5*12</x:f>
        <x:v>2628</x:v>
      </x:c>
    </x:row>
    <x:row r="12">
      <x:c r="A12" s="4" t="s">
        <x:v>193</x:v>
      </x:c>
      <x:c r="B12" s="5"/>
      <x:c r="C12" s="5"/>
      <x:c r="D12" s="5"/>
      <x:c r="E12" s="5"/>
      <x:c r="F12" s="5"/>
      <x:c r="G12" s="5"/>
      <x:c r="H12" s="5"/>
    </x:row>
    <x:row r="13">
      <x:c r="A13" s="6" t="s">
        <x:v>194</x:v>
      </x:c>
      <x:c r="B13" s="25" t="n">
        <x:v>100000</x:v>
      </x:c>
      <x:c r="D13" s="3" t="str">
        <x:v>Planning scenario only: $100k annual quota for a small-business AE; not company data.</x:v>
      </x:c>
    </x:row>
    <x:row r="14">
      <x:c r="A14" s="6" t="s">
        <x:v>195</x:v>
      </x:c>
      <x:c r="B14" s="26" t="n">
        <x:v>250</x:v>
      </x:c>
      <x:c r="C14" s="3" t="s">
        <x:v>196</x:v>
      </x:c>
    </x:row>
    <x:row r="15">
      <x:c r="A15" s="6" t="s">
        <x:v>197</x:v>
      </x:c>
      <x:c r="B15" s="20" t="n">
        <x:f>IF(B10=0,0,B13/B10)</x:f>
        <x:v>38.051750380517504</x:v>
      </x:c>
    </x:row>
    <x:row r="16">
      <x:c r="A16" s="12" t="s">
        <x:v>198</x:v>
      </x:c>
      <x:c r="B16" s="43" t="n">
        <x:f>IF(B14=0,0,B15/B14)</x:f>
        <x:v>0.15220700152207</x:v>
      </x:c>
      <x:c r="C16" s="3" t="s">
        <x:v>199</x:v>
      </x:c>
    </x:row>
    <x:row r="17" ht="50" customHeight="1">
      <x:c r="A17" s="6" t="str">
        <x:v>→ Kết luận Sales-Led (quota + CAC)</x:v>
      </x:c>
      <x:c r="B17" s="53" t="str">
        <x:v>KHÔNG KHẢ THI theo CAC</x:v>
      </x:c>
      <x:c r="C17" s="49"/>
      <x:c r="D17" s="49" t="str">
        <x:v>Quota proxy: 38 deals/year (0.152/day) is within assumed AE capacity, but Sales-Led CAC $25,200 is 12.28× the $2,052 allowance. Opportunity cost is a benchmark proxy, not Vietnam SMB actuals.</x:v>
      </x:c>
    </x:row>
    <x:row r="19">
      <x:c r="A19" s="4" t="s">
        <x:v>200</x:v>
      </x:c>
      <x:c r="B19" s="5"/>
      <x:c r="C19" s="5"/>
      <x:c r="D19" s="5"/>
      <x:c r="E19" s="5"/>
      <x:c r="F19" s="5"/>
      <x:c r="G19" s="5"/>
      <x:c r="H19" s="5"/>
    </x:row>
    <x:row r="20" ht="40" customHeight="1">
      <x:c r="A20" s="6" t="s">
        <x:v>201</x:v>
      </x:c>
      <x:c r="B20" s="25" t="n">
        <x:v>6300</x:v>
      </x:c>
      <x:c r="D20" s="52" t="str">
        <x:v>ICONIQ 2026 benchmark range: $6,300 / $8,000 / $11,200 per opportunity. Use low end $6,300 as a stress-test proxy, not Vietnam SMB actuals; at 25% win rate CAC=$25,200 (range up to $44,800).</x:v>
      </x:c>
    </x:row>
    <x:row r="21" ht="40" customHeight="1">
      <x:c r="A21" s="6" t="s">
        <x:v>202</x:v>
      </x:c>
      <x:c r="B21" s="34" t="n">
        <x:v>0.25</x:v>
      </x:c>
      <x:c r="D21" s="49" t="str">
        <x:v>25% win-rate scenario from the lab example; replace with observed conversion.</x:v>
      </x:c>
    </x:row>
    <x:row r="22" ht="40" customHeight="1">
      <x:c r="A22" s="6" t="s">
        <x:v>203</x:v>
      </x:c>
      <x:c r="B22" s="42" t="n">
        <x:f>IF(B21=0,0,B20/B21)</x:f>
        <x:v>25200</x:v>
      </x:c>
      <x:c r="D22" s="49"/>
    </x:row>
    <x:row r="23" ht="40" customHeight="1">
      <x:c r="A23" s="12" t="s">
        <x:v>204</x:v>
      </x:c>
      <x:c r="B23" s="44" t="n">
        <x:f>IF(B9=0,0,B22/B9)</x:f>
        <x:v>12.280989028983132</x:v>
      </x:c>
      <x:c r="D23" s="52" t="str">
        <x:v>Sales-Led benchmark proxy CAC $25,200 / $2,052 budget = 12.28×; high case $44,800 = 21.83×. Partner CAC remains unmeasured.</x:v>
      </x:c>
    </x:row>
    <x:row r="24" ht="15.75" customHeight="1">
      <x:c r="A24" s="6" t="s">
        <x:v>141</x:v>
      </x:c>
      <x:c r="B24" s="18" t="str">
        <x:f>IF(B23&lt;=1,"Motion có sales KHẢ THI",IF(B23&lt;=3,"Căng — cần tăng giá hoặc giảm chi phí bán hàng","KHÔNG KHẢ THI — đi PLG hoặc Partner-Led"))</x:f>
        <x:v>KHÔNG KHẢ THI — đi PLG hoặc Partner-Led</x:v>
      </x:c>
    </x:row>
    <x:row r="25" ht="15.75" customHeight="1"/>
    <x:row r="26" ht="15.75" customHeight="1">
      <x:c r="A26" s="4" t="s">
        <x:v>205</x:v>
      </x:c>
      <x:c r="B26" s="5"/>
      <x:c r="C26" s="5"/>
      <x:c r="D26" s="5"/>
      <x:c r="E26" s="5"/>
      <x:c r="F26" s="5"/>
      <x:c r="G26" s="5"/>
      <x:c r="H26" s="5"/>
    </x:row>
    <x:row r="27" ht="15.75" customHeight="1">
      <x:c r="A27" s="29" t="s">
        <x:v>206</x:v>
      </x:c>
      <x:c r="B27" s="29" t="s">
        <x:v>207</x:v>
      </x:c>
      <x:c r="C27" s="29" t="s">
        <x:v>208</x:v>
      </x:c>
      <x:c r="D27" s="29" t="s">
        <x:v>209</x:v>
      </x:c>
    </x:row>
    <x:row r="28" ht="15.75" customHeight="1">
      <x:c r="A28" s="6" t="s">
        <x:v>210</x:v>
      </x:c>
      <x:c r="B28" s="7" t="n">
        <x:v>3</x:v>
      </x:c>
      <x:c r="C28" s="7" t="n">
        <x:v>2</x:v>
      </x:c>
      <x:c r="D28" s="7" t="n">
        <x:v>4</x:v>
      </x:c>
    </x:row>
    <x:row r="29" ht="15.75" customHeight="1">
      <x:c r="A29" s="6" t="s">
        <x:v>211</x:v>
      </x:c>
      <x:c r="B29" s="7" t="n">
        <x:v>3</x:v>
      </x:c>
      <x:c r="C29" s="7" t="n">
        <x:v>2</x:v>
      </x:c>
      <x:c r="D29" s="7" t="n">
        <x:v>4</x:v>
      </x:c>
    </x:row>
    <x:row r="30" ht="15.75" customHeight="1">
      <x:c r="A30" s="6" t="s">
        <x:v>212</x:v>
      </x:c>
      <x:c r="B30" s="7" t="n">
        <x:v>2</x:v>
      </x:c>
      <x:c r="C30" s="7" t="n">
        <x:v>1</x:v>
      </x:c>
      <x:c r="D30" s="7" t="n">
        <x:v>3</x:v>
      </x:c>
    </x:row>
    <x:row r="31" ht="15.75" customHeight="1">
      <x:c r="A31" s="6" t="s">
        <x:v>213</x:v>
      </x:c>
      <x:c r="B31" s="7" t="n">
        <x:v>3</x:v>
      </x:c>
      <x:c r="C31" s="7" t="n">
        <x:v>1</x:v>
      </x:c>
      <x:c r="D31" s="7" t="n">
        <x:v>3</x:v>
      </x:c>
    </x:row>
    <x:row r="32" ht="15.75" customHeight="1">
      <x:c r="A32" s="6" t="s">
        <x:v>214</x:v>
      </x:c>
      <x:c r="B32" s="7" t="n">
        <x:v>4</x:v>
      </x:c>
      <x:c r="C32" s="7" t="n">
        <x:v>2</x:v>
      </x:c>
      <x:c r="D32" s="7" t="n">
        <x:v>5</x:v>
      </x:c>
    </x:row>
    <x:row r="33" ht="15.75" customHeight="1">
      <x:c r="A33" s="6" t="s">
        <x:v>215</x:v>
      </x:c>
      <x:c r="B33" s="7" t="n">
        <x:v>4</x:v>
      </x:c>
      <x:c r="C33" s="7" t="n">
        <x:v>2</x:v>
      </x:c>
      <x:c r="D33" s="7" t="n">
        <x:v>4</x:v>
      </x:c>
    </x:row>
    <x:row r="34" ht="15.75" customHeight="1">
      <x:c r="A34" s="12" t="s">
        <x:v>216</x:v>
      </x:c>
      <x:c r="B34" s="28" t="n">
        <x:f t="shared" ref="B34:D34" si="1">SUM(B28:B33)</x:f>
        <x:v>19</x:v>
      </x:c>
      <x:c r="C34" s="28" t="n">
        <x:f t="shared" si="1">SUM(C28:C33)</x:f>
        <x:v>10</x:v>
      </x:c>
      <x:c r="D34" s="28" t="n">
        <x:f t="shared" si="1">SUM(D28:D33)</x:f>
        <x:v>23</x:v>
      </x:c>
    </x:row>
    <x:row r="35" ht="15.75" customHeight="1">
      <x:c r="A35" s="12" t="s">
        <x:v>217</x:v>
      </x:c>
      <x:c r="B35" s="28" t="str">
        <x:f>IF(AND(B34&gt;=C34,B34&gt;=D34),"PLG",IF(C34&gt;=D34,"Sales-Led","Partner-Led"))</x:f>
        <x:v>Partner-Led</x:v>
      </x:c>
    </x:row>
    <x:row r="36" ht="15.75" customHeight="1"/>
    <x:row r="37" ht="15.75" customHeight="1">
      <x:c r="A37" s="4" t="s">
        <x:v>218</x:v>
      </x:c>
      <x:c r="B37" s="5"/>
      <x:c r="C37" s="5"/>
      <x:c r="D37" s="5"/>
      <x:c r="E37" s="5"/>
      <x:c r="F37" s="5"/>
      <x:c r="G37" s="5"/>
      <x:c r="H37" s="5"/>
    </x:row>
    <x:row r="38" ht="15.75" customHeight="1">
      <x:c r="A38" s="6" t="s">
        <x:v>219</x:v>
      </x:c>
      <x:c r="B38" s="50" t="str">
        <x:v>Partner-Led</x:v>
      </x:c>
      <x:c r="C38" s="51"/>
      <x:c r="D38" s="3" t="s">
        <x:v>220</x:v>
      </x:c>
    </x:row>
    <x:row r="39" ht="38" customHeight="1">
      <x:c r="A39" s="6" t="s">
        <x:v>221</x:v>
      </x:c>
      <x:c r="B39" s="50" t="str">
        <x:v>MISA JSC — AMIS Kế toán Open API / integration partner program (candidate; not contacted)</x:v>
      </x:c>
      <x:c r="C39" s="51"/>
      <x:c r="D39" s="3" t="s">
        <x:v>222</x:v>
      </x:c>
    </x:row>
    <x:row r="40" ht="15.75" customHeight="1">
      <x:c r="A40" s="6" t="s">
        <x:v>223</x:v>
      </x:c>
      <x:c r="B40" s="50" t="str">
        <x:v>Chưa</x:v>
      </x:c>
      <x:c r="C40" s="51"/>
    </x:row>
    <x:row r="41" ht="64" customHeight="1">
      <x:c r="A41" s="6" t="s">
        <x:v>224</x:v>
      </x:c>
      <x:c r="B41" s="50" t="str">
        <x:v>Complement AMIS: process invoices from supplier email, uploads, or other providers not already auto-synced by meInvoice; create validated draft vouchers. MISA partnership/incentive remains untested.</x:v>
      </x:c>
      <x:c r="C41" s="51"/>
    </x:row>
    <x:row r="42" ht="64" customHeight="1">
      <x:c r="A42" s="6" t="s">
        <x:v>225</x:v>
      </x:c>
      <x:c r="B42" s="50" t="str">
        <x:v>Within 2 weeks, request a named MISA partner/API contact and written access requirements. If no owner or API path emerges, revisit Partner-Led.</x:v>
      </x:c>
      <x:c r="C42" s="51"/>
      <x:c r="D42" s="3" t="s">
        <x:v>226</x:v>
      </x:c>
    </x:row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17:C17"/>
    <x:mergeCell ref="B38:C38"/>
    <x:mergeCell ref="B39:C39"/>
    <x:mergeCell ref="B40:C40"/>
    <x:mergeCell ref="B41:C41"/>
    <x:mergeCell ref="B42:C42"/>
  </x:mergeCells>
  <x:dataValidations count="1">
    <x:dataValidation type="list" allowBlank="1" sqref="B7">
      <x:formula1>"SMB,Mid,Enterprise"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4.430000305175781" defaultRowHeight="15"/>
  <x:cols>
    <x:col min="1" max="1" width="30" customWidth="1"/>
    <x:col min="2" max="4" width="34" customWidth="1"/>
    <x:col min="5" max="8" width="15" customWidth="1"/>
    <x:col min="9" max="26" width="8.710000038146973" customWidth="1"/>
  </x:cols>
  <x:sheetData>
    <x:row r="1" ht="24" customHeight="1">
      <x:c r="A1" s="1" t="s">
        <x:v>227</x:v>
      </x:c>
      <x:c r="B1" s="2"/>
      <x:c r="C1" s="2"/>
      <x:c r="D1" s="2"/>
      <x:c r="E1" s="2"/>
      <x:c r="F1" s="2"/>
      <x:c r="G1" s="2"/>
      <x:c r="H1" s="2"/>
    </x:row>
    <x:row r="2">
      <x:c r="A2" s="3" t="s">
        <x:v>228</x:v>
      </x:c>
    </x:row>
    <x:row r="4">
      <x:c r="A4" s="4" t="s">
        <x:v>229</x:v>
      </x:c>
      <x:c r="B4" s="5"/>
      <x:c r="C4" s="5"/>
      <x:c r="D4" s="5"/>
      <x:c r="E4" s="5"/>
      <x:c r="F4" s="5"/>
      <x:c r="G4" s="5"/>
      <x:c r="H4" s="5"/>
    </x:row>
    <x:row r="5">
      <x:c r="A5" s="6" t="s">
        <x:v>230</x:v>
      </x:c>
      <x:c r="B5" s="16" t="str">
        <x:v>Hypothesis: 16:00–18:00 on the last 5 working days of each month; validate in 5 interviews.</x:v>
      </x:c>
    </x:row>
    <x:row r="6">
      <x:c r="A6" s="6" t="s">
        <x:v>231</x:v>
      </x:c>
      <x:c r="B6" s="16" t="str">
        <x:v>Accountant collects incoming invoices, checks totals/VAT/supplier fields, and enters purchase vouchers before month close.</x:v>
      </x:c>
    </x:row>
    <x:row r="7" ht="40" customHeight="1">
      <x:c r="A7" s="6" t="s">
        <x:v>232</x:v>
      </x:c>
      <x:c r="B7" s="48" t="str">
        <x:v>MISA AMIS Kế toán — Mua hàng/chứng từ mua hàng. Inputs: supplier email, manual upload, and other invoice tools; meInvoice already auto-syncs its own supported flow.</x:v>
      </x:c>
    </x:row>
    <x:row r="8" ht="54" customHeight="1">
      <x:c r="A8" s="6" t="s">
        <x:v>233</x:v>
      </x:c>
      <x:c r="B8" s="48" t="str">
        <x:v>MISA AMIS Kế toán Doanh nghiệp Open API → create purchase voucher draft from validated invoice fields; partner access and sandbox not secured. Partner-led channel is a hypothesis; 2-week access check is the falsification gate.</x:v>
      </x:c>
      <x:c r="D8" s="52" t="str">
        <x:v>Official source: https://developer.misa.vn/ lists AMIS Kế toán Open API. Confirm partner owner, endpoint, sandbox, eligibility and permissions before promising the integration.</x:v>
      </x:c>
    </x:row>
    <x:row r="10">
      <x:c r="A10" s="4" t="s">
        <x:v>234</x:v>
      </x:c>
      <x:c r="B10" s="5"/>
      <x:c r="C10" s="5"/>
      <x:c r="D10" s="5"/>
      <x:c r="E10" s="5"/>
      <x:c r="F10" s="5"/>
      <x:c r="G10" s="5"/>
      <x:c r="H10" s="5"/>
    </x:row>
    <x:row r="11">
      <x:c r="A11" s="29"/>
      <x:c r="B11" s="29" t="s">
        <x:v>235</x:v>
      </x:c>
      <x:c r="C11" s="29" t="s">
        <x:v>236</x:v>
      </x:c>
      <x:c r="D11" s="29" t="s">
        <x:v>237</x:v>
      </x:c>
    </x:row>
    <x:row r="12" ht="30" customHeight="1">
      <x:c r="A12" s="6" t="s">
        <x:v>238</x:v>
      </x:c>
      <x:c r="B12" s="40" t="str">
        <x:v>Partner-Led: interview MISA AMIS users; request MISA integration partner/API access.</x:v>
      </x:c>
      <x:c r="C12" s="40" t="str">
        <x:v>Partner-Led pilot through existing AMIS users; pursue MISA partner support/listing.</x:v>
      </x:c>
      <x:c r="D12" s="40" t="str">
        <x:v>Scale partner referrals only after MISA access and pilot gates pass.</x:v>
      </x:c>
    </x:row>
    <x:row r="13" ht="30" customHeight="1">
      <x:c r="A13" s="6" t="s">
        <x:v>239</x:v>
      </x:c>
      <x:c r="B13" s="40" t="str">
        <x:v>5 interviews + 2 pilot commitments.</x:v>
      </x:c>
      <x:c r="C13" s="40" t="str">
        <x:v>3 SMB pilots; 600 invoice submissions total (200/customer/month).</x:v>
      </x:c>
      <x:c r="D13" s="40" t="str">
        <x:v>10 paying SMBs by month 6, conditional on quality, margin, and price acceptance.</x:v>
      </x:c>
    </x:row>
    <x:row r="14" ht="30" customHeight="1">
      <x:c r="A14" s="6" t="s">
        <x:v>240</x:v>
      </x:c>
      <x:c r="B14" s="40" t="str">
        <x:v>Interview 5 owner-accountants; record minutes and current software.</x:v>
      </x:c>
      <x:c r="C14" s="40" t="str">
        <x:v>Connect one AMIS sandbox; process first 100 invoices.</x:v>
      </x:c>
      <x:c r="D14" s="40" t="str">
        <x:v>Standardize onboarding and API support; document failure/retry handling.</x:v>
      </x:c>
    </x:row>
    <x:row r="15" ht="30" customHeight="1">
      <x:c r="A15" s="6" t="s">
        <x:v>241</x:v>
      </x:c>
      <x:c r="B15" s="40" t="str">
        <x:v>Request MISA partner/API access; identify integration requirements.</x:v>
      </x:c>
      <x:c r="C15" s="40" t="str">
        <x:v>Run 3 customer pilots and log every submission, completion, correction, and retry.</x:v>
      </x:c>
      <x:c r="D15" s="40" t="str">
        <x:v>Test $9 + $1.05 pricing with at least 10 qualified SMBs.</x:v>
      </x:c>
    </x:row>
    <x:row r="16" ht="30" customHeight="1">
      <x:c r="A16" s="6" t="s">
        <x:v>242</x:v>
      </x:c>
      <x:c r="B16" s="40" t="str">
        <x:v>Build 100-invoice Vietnamese eval set; test OCR and required fields.</x:v>
      </x:c>
      <x:c r="C16" s="40" t="str">
        <x:v>Measure containment, field-level accuracy, human QA cost, and savings vs baseline.</x:v>
      </x:c>
      <x:c r="D16" s="40" t="str">
        <x:v>Add another workflow only if AMIS integration has stable usage.</x:v>
      </x:c>
    </x:row>
    <x:row r="17" ht="30" customHeight="1">
      <x:c r="A17" s="6" t="s">
        <x:v>243</x:v>
      </x:c>
      <x:c r="B17" s="40" t="str">
        <x:v>5 interviews completed; 2 written pilot commitments; baseline time per invoice recorded.</x:v>
      </x:c>
      <x:c r="C17" s="40" t="str">
        <x:v>600 invoices; containment ≥70%; critical fields ≥98% exact; monthly blended GM ≥60%; price accepted by ≥2/3 pilots.</x:v>
      </x:c>
      <x:c r="D17" s="40" t="str">
        <x:v>≥5/10 qualified prospects convert; all thresholds rechecked using observed data.</x:v>
      </x:c>
    </x:row>
    <x:row r="18" ht="30" customHeight="1">
      <x:c r="A18" s="6" t="s">
        <x:v>244</x:v>
      </x:c>
      <x:c r="B18" s="40" t="str">
        <x:v>Khanh Linh (Product/GTM) — proposed accountable owner.</x:v>
      </x:c>
      <x:c r="C18" s="40" t="str">
        <x:v>Khanh Linh (Product/GTM) — proposed accountable owner.</x:v>
      </x:c>
      <x:c r="D18" s="40" t="str">
        <x:v>Khanh Linh (Product/GTM) — proposed accountable owner.</x:v>
      </x:c>
    </x:row>
    <x:row r="19">
      <x:c r="A19" s="3" t="s">
        <x:v>245</x:v>
      </x:c>
    </x:row>
    <x:row r="21" ht="15.75" customHeight="1">
      <x:c r="A21" s="4" t="s">
        <x:v>246</x:v>
      </x:c>
      <x:c r="B21" s="5"/>
      <x:c r="C21" s="5"/>
      <x:c r="D21" s="5"/>
      <x:c r="E21" s="5"/>
      <x:c r="F21" s="5"/>
      <x:c r="G21" s="5"/>
      <x:c r="H21" s="5"/>
    </x:row>
    <x:row r="22" ht="15.75" customHeight="1">
      <x:c r="A22" s="29" t="s">
        <x:v>247</x:v>
      </x:c>
      <x:c r="B22" s="29" t="s">
        <x:v>248</x:v>
      </x:c>
      <x:c r="C22" s="29" t="s">
        <x:v>249</x:v>
      </x:c>
      <x:c r="D22" s="29" t="s">
        <x:v>250</x:v>
      </x:c>
    </x:row>
    <x:row r="23" ht="33.75" customHeight="1">
      <x:c r="A23" s="6" t="str">
        <x:v>1. Eval Results</x:v>
      </x:c>
      <x:c r="B23" s="40" t="str">
        <x:v>Chưa</x:v>
      </x:c>
      <x:c r="C23" s="40" t="str">
        <x:v>Chạy 100 hóa đơn VN đã ẩn danh + nhãn chuẩn; báo critical-field exactness, verified completion/containment, false accepts, retries, QA time. Hiện chưa có product/API + eval set.</x:v>
      </x:c>
      <x:c r="D23" s="40" t="str">
        <x:v>Khanh Linh · 09/11/2026</x:v>
      </x:c>
    </x:row>
    <x:row r="24" ht="33.75" customHeight="1">
      <x:c r="A24" s="6" t="str">
        <x:v>2. Procurement Q&amp;A</x:v>
      </x:c>
      <x:c r="B24" s="40" t="str">
        <x:v>Bản nháp — chưa xác minh</x:v>
      </x:c>
      <x:c r="C24" s="40" t="str">
        <x:v>Draft answers: (1) tạo voucher nháp, kiểm tra trường/tổng/VAT và chuyển ca không chắc cho người; chưa có Eval chứng minh. (2) Nếu dùng Anthropic Commercial API, input/output mặc định không dùng để train; retention/config thực tế cần xác minh. (3) Export/xóa khi startup dừng chưa được thiết kế/kiểm chứng.</x:v>
      </x:c>
      <x:c r="D24" s="40" t="str">
        <x:v>Khanh Linh · 09/11/2026</x:v>
      </x:c>
    </x:row>
    <x:row r="25" ht="33.75" customHeight="1">
      <x:c r="A25" s="6" t="str">
        <x:v>3. Pilot Report</x:v>
      </x:c>
      <x:c r="B25" s="40" t="str">
        <x:v>Chưa chạy · 0 pilot</x:v>
      </x:c>
      <x:c r="C25" s="40" t="str">
        <x:v>Báo cáo 4 tuần với 3 SMB/600 invoices; ghi completed jobs, corrections, time saved, QA/HITL/retry/infra cost và willingness-to-pay.</x:v>
      </x:c>
      <x:c r="D25" s="40" t="str">
        <x:v>Khanh Linh · 15/12/2026</x:v>
      </x:c>
    </x:row>
    <x:row r="26" ht="15.75" customHeight="1">
      <x:c r="A26" s="3" t="s">
        <x:v>251</x:v>
      </x:c>
    </x:row>
    <x:row r="27" ht="15.75" customHeight="1"/>
    <x:row r="28" ht="15.75" customHeight="1">
      <x:c r="A28" s="4" t="s">
        <x:v>252</x:v>
      </x:c>
      <x:c r="B28" s="5"/>
      <x:c r="C28" s="5"/>
      <x:c r="D28" s="5"/>
      <x:c r="E28" s="5"/>
      <x:c r="F28" s="5"/>
      <x:c r="G28" s="5"/>
      <x:c r="H28" s="5"/>
    </x:row>
    <x:row r="29" ht="34" customHeight="1">
      <x:c r="A29" s="55" t="s">
        <x:v>253</x:v>
      </x:c>
      <x:c r="B29" s="16" t="str">
        <x:v>Chưa chạy — cần người đọc độc lập.</x:v>
      </x:c>
    </x:row>
    <x:row r="30" ht="34" customHeight="1">
      <x:c r="A30" s="55" t="s">
        <x:v>254</x:v>
      </x:c>
      <x:c r="B30" s="16" t="str">
        <x:v>Chưa chạy — cần người đọc độc lập.</x:v>
      </x:c>
    </x:row>
    <x:row r="31" ht="34" customHeight="1">
      <x:c r="A31" s="55" t="s">
        <x:v>255</x:v>
      </x:c>
      <x:c r="B31" s="16" t="str">
        <x:v>Chưa chạy — cần người đọc độc lập.</x:v>
      </x:c>
    </x:row>
    <x:row r="32" ht="34" customHeight="1">
      <x:c r="A32" s="55" t="s">
        <x:v>256</x:v>
      </x:c>
      <x:c r="B32" s="16" t="str">
        <x:v>Chưa đo</x:v>
      </x:c>
    </x:row>
    <x:row r="33" ht="15.75" customHeight="1"/>
    <x:row r="34" ht="28" customHeight="1">
      <x:c r="A34" s="51" t="str">
        <x:v>E. §4.7 AI PROMPT CRITIQUE LOG</x:v>
      </x:c>
      <x:c r="B34" s="51"/>
      <x:c r="C34" s="51"/>
      <x:c r="D34" s="51"/>
    </x:row>
    <x:row r="35" ht="26" customHeight="1">
      <x:c r="A35" s="51" t="str">
        <x:v>Prompt</x:v>
      </x:c>
      <x:c r="B35" s="51" t="str">
        <x:v>Critique chính</x:v>
      </x:c>
      <x:c r="C35" s="51" t="str">
        <x:v>Quyết định</x:v>
      </x:c>
      <x:c r="D35" s="51" t="str">
        <x:v>Việc tiếp theo</x:v>
      </x:c>
    </x:row>
    <x:row r="36" ht="86" customHeight="1">
      <x:c r="A36" s="51" t="str">
        <x:v>4.7.1 Cost/Job Stress Test</x:v>
      </x:c>
      <x:c r="B36" s="51" t="str">
        <x:v>Retry hiện chỉ tính LLM; OCR/infra retry chưa được xác nhận. Overhead $30/tháng là phân bổ ước tính. Haiku 5.5 có giá công bố thấp hơn Haiku 4.5.</x:v>
      </x:c>
      <x:c r="C36" s="51" t="str">
        <x:v>ACCEPT — duyệt theo đề xuất</x:v>
      </x:c>
      <x:c r="D36" s="51" t="str">
        <x:v>Giữ cost model hiện tại là estimate; đo retry và overhead trong pilot. Chạy Haiku 5.5 trên cùng Eval trước khi cân nhắc đổi model.</x:v>
      </x:c>
    </x:row>
    <x:row r="37" ht="86" customHeight="1">
      <x:c r="A37" s="51" t="str">
        <x:v>4.7.5 One-Pager Defensibility Check</x:v>
      </x:c>
      <x:c r="B37" s="51" t="str">
        <x:v>Ở 200 hóa đơn/tháng, phí $219/tháng đòi hỏi khách tiết kiệm ít nhất $219/tháng để hòa vốn; savings thực tế chưa đo.</x:v>
      </x:c>
      <x:c r="C37" s="51" t="str">
        <x:v>ACCEPT — duyệt theo đề xuất</x:v>
      </x:c>
      <x:c r="D37" s="51" t="str">
        <x:v>Thêm ngưỡng hòa vốn $219/tháng (≈$1.095/hóa đơn ở 200 hóa đơn); giữ giá là giả thuyết premium, chưa đổi trước pilot.</x:v>
      </x:c>
    </x:row>
    <x:row r="38" ht="86" customHeight="1">
      <x:c r="A38" s="51" t="str">
        <x:v>Stranger Test</x:v>
      </x:c>
      <x:c r="B38" s="51" t="str">
        <x:v>Chưa có người đọc độc lập; không ghi kết quả đạt.</x:v>
      </x:c>
      <x:c r="C38" s="51" t="str">
        <x:v>PENDING — chưa chạy</x:v>
      </x:c>
      <x:c r="D38" s="51" t="str">
        <x:v>Nhờ người độc lập đọc 2 phút, ghi 3 câu trả lời và số câu hỏi lại trước buổi học tiếp theo.</x:v>
      </x:c>
    </x:row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4.430000305175781" defaultRowHeight="15"/>
  <x:cols>
    <x:col min="1" max="1" width="26" customWidth="1"/>
    <x:col min="2" max="2" width="30" customWidth="1"/>
    <x:col min="3" max="3" width="20" customWidth="1"/>
    <x:col min="4" max="4" width="16" customWidth="1"/>
    <x:col min="5" max="5" width="56" customWidth="1"/>
    <x:col min="6" max="8" width="15" customWidth="1"/>
    <x:col min="9" max="26" width="8.710000038146973" customWidth="1"/>
  </x:cols>
  <x:sheetData>
    <x:row r="1" ht="24" customHeight="1">
      <x:c r="A1" s="1" t="s">
        <x:v>257</x:v>
      </x:c>
      <x:c r="B1" s="2"/>
      <x:c r="C1" s="2"/>
      <x:c r="D1" s="2"/>
      <x:c r="E1" s="2"/>
      <x:c r="F1" s="2"/>
      <x:c r="G1" s="2"/>
      <x:c r="H1" s="2"/>
    </x:row>
    <x:row r="2">
      <x:c r="A2" s="3" t="str">
        <x:v>Giá/API và benchmark được ghi nhận ngày 07/10/2026. Dòng có ⏳ là giá khuyến mại có hạn; xem điều kiện hết hạn ở cột E.</x:v>
      </x:c>
    </x:row>
    <x:row r="3">
      <x:c r="A3" s="6" t="s">
        <x:v>258</x:v>
      </x:c>
      <x:c r="B3" s="16" t="str">
        <x:v>2026-10-07</x:v>
      </x:c>
      <x:c r="D3" s="3" t="s">
        <x:v>259</x:v>
      </x:c>
    </x:row>
    <x:row r="5">
      <x:c r="A5" s="45" t="s">
        <x:v>260</x:v>
      </x:c>
      <x:c r="B5" s="45" t="s">
        <x:v>261</x:v>
      </x:c>
      <x:c r="C5" s="45" t="s">
        <x:v>262</x:v>
      </x:c>
      <x:c r="D5" s="45" t="s">
        <x:v>263</x:v>
      </x:c>
      <x:c r="E5" s="45" t="s">
        <x:v>264</x:v>
      </x:c>
    </x:row>
    <x:row r="6">
      <x:c r="A6" s="46" t="s">
        <x:v>106</x:v>
      </x:c>
      <x:c r="B6" s="46" t="s">
        <x:v>265</x:v>
      </x:c>
      <x:c r="C6" s="46" t="s">
        <x:v>266</x:v>
      </x:c>
      <x:c r="D6" s="46" t="s">
        <x:v>267</x:v>
      </x:c>
      <x:c r="E6" s="47" t="s">
        <x:v>268</x:v>
      </x:c>
    </x:row>
    <x:row r="7">
      <x:c r="A7" s="46" t="s">
        <x:v>106</x:v>
      </x:c>
      <x:c r="B7" s="46" t="s">
        <x:v>269</x:v>
      </x:c>
      <x:c r="C7" s="46" t="s">
        <x:v>270</x:v>
      </x:c>
      <x:c r="D7" s="46" t="s">
        <x:v>267</x:v>
      </x:c>
      <x:c r="E7" s="47" t="s">
        <x:v>268</x:v>
      </x:c>
    </x:row>
    <x:row r="8">
      <x:c r="A8" s="46" t="s">
        <x:v>106</x:v>
      </x:c>
      <x:c r="B8" s="46" t="s">
        <x:v>271</x:v>
      </x:c>
      <x:c r="C8" s="46" t="s">
        <x:v>272</x:v>
      </x:c>
      <x:c r="D8" s="46" t="s">
        <x:v>267</x:v>
      </x:c>
      <x:c r="E8" s="47" t="s">
        <x:v>268</x:v>
      </x:c>
    </x:row>
    <x:row r="9">
      <x:c r="A9" s="46" t="s">
        <x:v>106</x:v>
      </x:c>
      <x:c r="B9" s="46" t="s">
        <x:v>273</x:v>
      </x:c>
      <x:c r="C9" s="46" t="s">
        <x:v>274</x:v>
      </x:c>
      <x:c r="D9" s="46" t="s">
        <x:v>275</x:v>
      </x:c>
      <x:c r="E9" s="47" t="s">
        <x:v>268</x:v>
      </x:c>
    </x:row>
    <x:row r="10">
      <x:c r="A10" s="46" t="s">
        <x:v>106</x:v>
      </x:c>
      <x:c r="B10" s="46" t="s">
        <x:v>276</x:v>
      </x:c>
      <x:c r="C10" s="46" t="s">
        <x:v>277</x:v>
      </x:c>
      <x:c r="D10" s="46" t="s">
        <x:v>267</x:v>
      </x:c>
      <x:c r="E10" s="47" t="s">
        <x:v>278</x:v>
      </x:c>
    </x:row>
    <x:row r="11">
      <x:c r="A11" s="46" t="s">
        <x:v>106</x:v>
      </x:c>
      <x:c r="B11" s="46" t="s">
        <x:v>279</x:v>
      </x:c>
      <x:c r="C11" s="46" t="s">
        <x:v>280</x:v>
      </x:c>
      <x:c r="D11" s="46" t="s">
        <x:v>267</x:v>
      </x:c>
      <x:c r="E11" s="47" t="s">
        <x:v>281</x:v>
      </x:c>
    </x:row>
    <x:row r="12">
      <x:c r="A12" s="46" t="s">
        <x:v>106</x:v>
      </x:c>
      <x:c r="B12" s="46" t="s">
        <x:v>282</x:v>
      </x:c>
      <x:c r="C12" s="46" t="s">
        <x:v>283</x:v>
      </x:c>
      <x:c r="D12" s="46" t="s">
        <x:v>275</x:v>
      </x:c>
      <x:c r="E12" s="47" t="s">
        <x:v>281</x:v>
      </x:c>
    </x:row>
    <x:row r="13">
      <x:c r="A13" s="46" t="s">
        <x:v>106</x:v>
      </x:c>
      <x:c r="B13" s="46" t="s">
        <x:v>284</x:v>
      </x:c>
      <x:c r="C13" s="46" t="s">
        <x:v>285</x:v>
      </x:c>
      <x:c r="D13" s="46" t="s">
        <x:v>267</x:v>
      </x:c>
      <x:c r="E13" s="47" t="s">
        <x:v>286</x:v>
      </x:c>
    </x:row>
    <x:row r="14">
      <x:c r="A14" s="46" t="s">
        <x:v>106</x:v>
      </x:c>
      <x:c r="B14" s="46" t="s">
        <x:v>287</x:v>
      </x:c>
      <x:c r="C14" s="46" t="s">
        <x:v>288</x:v>
      </x:c>
      <x:c r="D14" s="46" t="s">
        <x:v>267</x:v>
      </x:c>
      <x:c r="E14" s="47" t="s">
        <x:v>289</x:v>
      </x:c>
    </x:row>
    <x:row r="15">
      <x:c r="A15" s="46" t="s">
        <x:v>290</x:v>
      </x:c>
      <x:c r="B15" s="46" t="s">
        <x:v>291</x:v>
      </x:c>
      <x:c r="C15" s="46" t="s">
        <x:v>292</x:v>
      </x:c>
      <x:c r="D15" s="46" t="s">
        <x:v>293</x:v>
      </x:c>
      <x:c r="E15" s="47" t="s">
        <x:v>294</x:v>
      </x:c>
    </x:row>
    <x:row r="16">
      <x:c r="A16" s="46" t="s">
        <x:v>290</x:v>
      </x:c>
      <x:c r="B16" s="46" t="s">
        <x:v>295</x:v>
      </x:c>
      <x:c r="C16" s="46" t="s">
        <x:v>296</x:v>
      </x:c>
      <x:c r="D16" s="46" t="s">
        <x:v>293</x:v>
      </x:c>
      <x:c r="E16" s="47" t="s">
        <x:v>297</x:v>
      </x:c>
    </x:row>
    <x:row r="17">
      <x:c r="A17" s="46" t="s">
        <x:v>290</x:v>
      </x:c>
      <x:c r="B17" s="46" t="s">
        <x:v>298</x:v>
      </x:c>
      <x:c r="C17" s="46" t="s">
        <x:v>299</x:v>
      </x:c>
      <x:c r="D17" s="46" t="s">
        <x:v>293</x:v>
      </x:c>
      <x:c r="E17" s="47" t="s">
        <x:v>300</x:v>
      </x:c>
    </x:row>
    <x:row r="18">
      <x:c r="A18" s="46" t="s">
        <x:v>290</x:v>
      </x:c>
      <x:c r="B18" s="46" t="s">
        <x:v>301</x:v>
      </x:c>
      <x:c r="C18" s="46" t="s">
        <x:v>302</x:v>
      </x:c>
      <x:c r="D18" s="46" t="s">
        <x:v>293</x:v>
      </x:c>
      <x:c r="E18" s="47" t="s">
        <x:v>281</x:v>
      </x:c>
    </x:row>
    <x:row r="19">
      <x:c r="A19" s="46" t="s">
        <x:v>303</x:v>
      </x:c>
      <x:c r="B19" s="46" t="s">
        <x:v>304</x:v>
      </x:c>
      <x:c r="C19" s="46" t="s">
        <x:v>305</x:v>
      </x:c>
      <x:c r="D19" s="46" t="s">
        <x:v>306</x:v>
      </x:c>
      <x:c r="E19" s="47" t="s">
        <x:v>307</x:v>
      </x:c>
    </x:row>
    <x:row r="20">
      <x:c r="A20" s="46" t="s">
        <x:v>303</x:v>
      </x:c>
      <x:c r="B20" s="46" t="s">
        <x:v>308</x:v>
      </x:c>
      <x:c r="C20" s="46" t="s">
        <x:v>309</x:v>
      </x:c>
      <x:c r="D20" s="46" t="s">
        <x:v>306</x:v>
      </x:c>
      <x:c r="E20" s="47" t="s">
        <x:v>281</x:v>
      </x:c>
    </x:row>
    <x:row r="21" ht="15.75" customHeight="1">
      <x:c r="A21" s="46" t="s">
        <x:v>303</x:v>
      </x:c>
      <x:c r="B21" s="46" t="s">
        <x:v>310</x:v>
      </x:c>
      <x:c r="C21" s="46" t="s">
        <x:v>311</x:v>
      </x:c>
      <x:c r="D21" s="46" t="s">
        <x:v>306</x:v>
      </x:c>
      <x:c r="E21" s="47" t="s">
        <x:v>312</x:v>
      </x:c>
    </x:row>
    <x:row r="22" ht="15.75" customHeight="1">
      <x:c r="A22" s="46" t="s">
        <x:v>303</x:v>
      </x:c>
      <x:c r="B22" s="46" t="s">
        <x:v>313</x:v>
      </x:c>
      <x:c r="C22" s="46" t="s">
        <x:v>314</x:v>
      </x:c>
      <x:c r="D22" s="46" t="s">
        <x:v>306</x:v>
      </x:c>
      <x:c r="E22" s="47" t="s">
        <x:v>312</x:v>
      </x:c>
    </x:row>
    <x:row r="23" ht="15.75" customHeight="1">
      <x:c r="A23" s="46" t="s">
        <x:v>315</x:v>
      </x:c>
      <x:c r="B23" s="46" t="s">
        <x:v>316</x:v>
      </x:c>
      <x:c r="C23" s="46" t="s">
        <x:v>317</x:v>
      </x:c>
      <x:c r="D23" s="46" t="s">
        <x:v>318</x:v>
      </x:c>
      <x:c r="E23" s="47" t="s">
        <x:v>319</x:v>
      </x:c>
    </x:row>
    <x:row r="24" ht="15.75" customHeight="1">
      <x:c r="A24" s="46" t="s">
        <x:v>320</x:v>
      </x:c>
      <x:c r="B24" s="46" t="s">
        <x:v>321</x:v>
      </x:c>
      <x:c r="C24" s="46" t="s">
        <x:v>322</x:v>
      </x:c>
      <x:c r="D24" s="46" t="s">
        <x:v>323</x:v>
      </x:c>
      <x:c r="E24" s="47" t="s">
        <x:v>324</x:v>
      </x:c>
    </x:row>
    <x:row r="25" ht="15.75" customHeight="1">
      <x:c r="A25" s="46" t="s">
        <x:v>320</x:v>
      </x:c>
      <x:c r="B25" s="46" t="s">
        <x:v>325</x:v>
      </x:c>
      <x:c r="C25" s="46" t="s">
        <x:v>326</x:v>
      </x:c>
      <x:c r="D25" s="46" t="s">
        <x:v>323</x:v>
      </x:c>
      <x:c r="E25" s="47" t="s">
        <x:v>327</x:v>
      </x:c>
    </x:row>
    <x:row r="26" ht="15.75" customHeight="1">
      <x:c r="A26" s="46" t="s">
        <x:v>320</x:v>
      </x:c>
      <x:c r="B26" s="46" t="s">
        <x:v>328</x:v>
      </x:c>
      <x:c r="C26" s="46" t="s">
        <x:v>329</x:v>
      </x:c>
      <x:c r="D26" s="46" t="s">
        <x:v>275</x:v>
      </x:c>
      <x:c r="E26" s="47" t="s">
        <x:v>330</x:v>
      </x:c>
    </x:row>
    <x:row r="27" ht="15.75" customHeight="1">
      <x:c r="A27" s="46" t="s">
        <x:v>331</x:v>
      </x:c>
      <x:c r="B27" s="46" t="s">
        <x:v>332</x:v>
      </x:c>
      <x:c r="C27" s="46" t="s">
        <x:v>333</x:v>
      </x:c>
      <x:c r="D27" s="46" t="s">
        <x:v>334</x:v>
      </x:c>
      <x:c r="E27" s="47" t="s">
        <x:v>335</x:v>
      </x:c>
    </x:row>
    <x:row r="28" ht="15.75" customHeight="1">
      <x:c r="A28" s="46" t="s">
        <x:v>331</x:v>
      </x:c>
      <x:c r="B28" s="46" t="s">
        <x:v>336</x:v>
      </x:c>
      <x:c r="C28" s="46" t="s">
        <x:v>337</x:v>
      </x:c>
      <x:c r="D28" s="46" t="s">
        <x:v>334</x:v>
      </x:c>
      <x:c r="E28" s="47" t="s">
        <x:v>335</x:v>
      </x:c>
    </x:row>
    <x:row r="29" ht="15.75" customHeight="1">
      <x:c r="A29" s="46" t="s">
        <x:v>331</x:v>
      </x:c>
      <x:c r="B29" s="46" t="s">
        <x:v>338</x:v>
      </x:c>
      <x:c r="C29" s="46" t="s">
        <x:v>339</x:v>
      </x:c>
      <x:c r="D29" s="46" t="s">
        <x:v>340</x:v>
      </x:c>
      <x:c r="E29" s="47" t="s">
        <x:v>341</x:v>
      </x:c>
    </x:row>
    <x:row r="30" ht="15.75" customHeight="1">
      <x:c r="A30" s="46" t="s">
        <x:v>331</x:v>
      </x:c>
      <x:c r="B30" s="46" t="s">
        <x:v>342</x:v>
      </x:c>
      <x:c r="C30" s="46" t="s">
        <x:v>343</x:v>
      </x:c>
      <x:c r="D30" s="46" t="s">
        <x:v>344</x:v>
      </x:c>
      <x:c r="E30" s="47" t="s">
        <x:v>345</x:v>
      </x:c>
    </x:row>
    <x:row r="31" ht="15.75" customHeight="1">
      <x:c r="A31" s="46" t="s">
        <x:v>331</x:v>
      </x:c>
      <x:c r="B31" s="46" t="s">
        <x:v>346</x:v>
      </x:c>
      <x:c r="C31" s="46" t="s">
        <x:v>347</x:v>
      </x:c>
      <x:c r="D31" s="46" t="s">
        <x:v>348</x:v>
      </x:c>
      <x:c r="E31" s="47" t="s">
        <x:v>345</x:v>
      </x:c>
    </x:row>
    <x:row r="32" ht="15.75" customHeight="1">
      <x:c r="A32" s="46" t="s">
        <x:v>331</x:v>
      </x:c>
      <x:c r="B32" s="46" t="s">
        <x:v>349</x:v>
      </x:c>
      <x:c r="C32" s="46" t="s">
        <x:v>350</x:v>
      </x:c>
      <x:c r="D32" s="46" t="s">
        <x:v>344</x:v>
      </x:c>
      <x:c r="E32" s="47" t="s">
        <x:v>351</x:v>
      </x:c>
    </x:row>
    <x:row r="33" ht="15.75" customHeight="1">
      <x:c r="A33" s="46" t="s">
        <x:v>331</x:v>
      </x:c>
      <x:c r="B33" s="46" t="s">
        <x:v>352</x:v>
      </x:c>
      <x:c r="C33" s="46" t="s">
        <x:v>353</x:v>
      </x:c>
      <x:c r="D33" s="46" t="s">
        <x:v>354</x:v>
      </x:c>
      <x:c r="E33" s="47" t="s">
        <x:v>351</x:v>
      </x:c>
    </x:row>
    <x:row r="34" ht="15.75" customHeight="1">
      <x:c r="A34" s="46" t="s">
        <x:v>331</x:v>
      </x:c>
      <x:c r="B34" s="46" t="s">
        <x:v>355</x:v>
      </x:c>
      <x:c r="C34" s="46" t="s">
        <x:v>356</x:v>
      </x:c>
      <x:c r="D34" s="46" t="s">
        <x:v>357</x:v>
      </x:c>
      <x:c r="E34" s="47" t="s">
        <x:v>358</x:v>
      </x:c>
    </x:row>
    <x:row r="35" ht="15.75" customHeight="1">
      <x:c r="A35" s="46" t="s">
        <x:v>359</x:v>
      </x:c>
      <x:c r="B35" s="46" t="s">
        <x:v>360</x:v>
      </x:c>
      <x:c r="C35" s="46" t="s">
        <x:v>361</x:v>
      </x:c>
      <x:c r="D35" s="46" t="s">
        <x:v>362</x:v>
      </x:c>
      <x:c r="E35" s="47" t="s">
        <x:v>363</x:v>
      </x:c>
    </x:row>
    <x:row r="36" ht="15.75" customHeight="1">
      <x:c r="A36" s="46" t="s">
        <x:v>359</x:v>
      </x:c>
      <x:c r="B36" s="46" t="s">
        <x:v>364</x:v>
      </x:c>
      <x:c r="C36" s="46" t="s">
        <x:v>365</x:v>
      </x:c>
      <x:c r="D36" s="46" t="s">
        <x:v>362</x:v>
      </x:c>
      <x:c r="E36" s="47" t="s">
        <x:v>366</x:v>
      </x:c>
    </x:row>
    <x:row r="37" ht="15.75" customHeight="1">
      <x:c r="A37" s="46" t="s">
        <x:v>359</x:v>
      </x:c>
      <x:c r="B37" s="46" t="s">
        <x:v>367</x:v>
      </x:c>
      <x:c r="C37" s="46" t="s">
        <x:v>368</x:v>
      </x:c>
      <x:c r="D37" s="46" t="s">
        <x:v>362</x:v>
      </x:c>
      <x:c r="E37" s="47" t="s">
        <x:v>369</x:v>
      </x:c>
    </x:row>
    <x:row r="38" ht="15.75" customHeight="1">
      <x:c r="A38" s="46" t="s">
        <x:v>359</x:v>
      </x:c>
      <x:c r="B38" s="46" t="s">
        <x:v>370</x:v>
      </x:c>
      <x:c r="C38" s="46" t="s">
        <x:v>371</x:v>
      </x:c>
      <x:c r="D38" s="46" t="s">
        <x:v>188</x:v>
      </x:c>
      <x:c r="E38" s="47" t="s">
        <x:v>366</x:v>
      </x:c>
    </x:row>
    <x:row r="39" ht="15.75" customHeight="1">
      <x:c r="A39" s="46" t="s">
        <x:v>359</x:v>
      </x:c>
      <x:c r="B39" s="46" t="s">
        <x:v>372</x:v>
      </x:c>
      <x:c r="C39" s="46" t="s">
        <x:v>373</x:v>
      </x:c>
      <x:c r="D39" s="46" t="s">
        <x:v>374</x:v>
      </x:c>
      <x:c r="E39" s="47" t="s">
        <x:v>375</x:v>
      </x:c>
    </x:row>
    <x:row r="40" ht="15.75" customHeight="1">
      <x:c r="A40" s="46" t="s">
        <x:v>359</x:v>
      </x:c>
      <x:c r="B40" s="46" t="s">
        <x:v>376</x:v>
      </x:c>
      <x:c r="C40" s="46" t="s">
        <x:v>377</x:v>
      </x:c>
      <x:c r="D40" s="46" t="s">
        <x:v>378</x:v>
      </x:c>
      <x:c r="E40" s="47" t="s">
        <x:v>379</x:v>
      </x:c>
    </x:row>
    <x:row r="41" ht="15.75" customHeight="1">
      <x:c r="A41" s="46" t="s">
        <x:v>359</x:v>
      </x:c>
      <x:c r="B41" s="46" t="s">
        <x:v>380</x:v>
      </x:c>
      <x:c r="C41" s="46" t="s">
        <x:v>381</x:v>
      </x:c>
      <x:c r="D41" s="46" t="s">
        <x:v>382</x:v>
      </x:c>
      <x:c r="E41" s="47" t="s">
        <x:v>383</x:v>
      </x:c>
    </x:row>
    <x:row r="42" ht="15.75" customHeight="1">
      <x:c r="A42" t="str">
        <x:v>FX</x:v>
      </x:c>
      <x:c r="B42" t="str">
        <x:v>Vietcombank USD sell · 07/10/2026</x:v>
      </x:c>
      <x:c r="C42" t="n">
        <x:v>26170</x:v>
      </x:c>
      <x:c r="D42" t="str">
        <x:v>₫ / USD</x:v>
      </x:c>
      <x:c r="E42" t="str">
        <x:v>Vietcombank rate page (historical 07/10 record): https://www.vietcombank.com.vn/To-chuc/Doanh-Nghi%E1%BB%87p/KHTC---Ty-gia · historical rate archive: https://taichinh.com/ty-gia</x:v>
      </x:c>
    </x:row>
    <x:row r="43" ht="15.75" customHeight="1">
      <x:c r="A43" s="3" t="s">
        <x:v>384</x:v>
      </x:c>
    </x:row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